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BS" sheetId="1" state="visible" r:id="rId3"/>
    <sheet name="評価項目対応" sheetId="2" state="visible" r:id="rId4"/>
    <sheet name="O～X転記用" sheetId="3" state="visible" r:id="rId5"/>
    <sheet name="前提・入力要領" sheetId="4" state="visible" r:id="rId6"/>
    <sheet name="工数・日程確認" sheetId="5" state="visible" r:id="rId7"/>
    <sheet name="v3変更履歴" sheetId="6" state="visible" r:id="rId8"/>
  </sheets>
  <definedNames>
    <definedName function="false" hidden="false" localSheetId="2" name="_xlnm.Print_Titles" vbProcedure="false">'O～X転記用'!$5:$5</definedName>
    <definedName function="false" hidden="true" localSheetId="2" name="_xlnm._FilterDatabase" vbProcedure="false">'O～X転記用'!$A$5:$V$237</definedName>
    <definedName function="false" hidden="false" localSheetId="5" name="_xlnm.Print_Titles" vbProcedure="false">v3変更履歴!$5:$5</definedName>
    <definedName function="false" hidden="false" localSheetId="0" name="_xlnm.Print_Titles" vbProcedure="false">WBS!$5:$5</definedName>
    <definedName function="false" hidden="true" localSheetId="0" name="_xlnm._FilterDatabase" vbProcedure="false">WBS!$A$5:$U$59</definedName>
    <definedName function="false" hidden="false" localSheetId="3" name="_xlnm.Print_Titles" vbProcedure="false">前提・入力要領!$5:$5</definedName>
    <definedName function="false" hidden="false" localSheetId="4" name="_xlnm.Print_Titles" vbProcedure="false">工数・日程確認!$5:$5</definedName>
    <definedName function="false" hidden="false" localSheetId="1" name="_xlnm.Print_Titles" vbProcedure="false">評価項目対応!$5:$5</definedName>
    <definedName function="false" hidden="true" localSheetId="1" name="_xlnm._FilterDatabase" vbProcedure="false">評価項目対応!$A$5:$P$236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<sst xmlns="http://schemas.openxmlformats.org/spreadsheetml/2006/main" count="3419" uniqueCount="1437">
  <si>
    <t xml:space="preserve">Chromebook セキュリティ評価 WBS（改訂版 v3）</t>
  </si>
  <si>
    <t xml:space="preserve">暫定計画：2026/10/07～11/10。実機・仕様確認・既存証跡を分け、追加試験は必要時のみ実施する。 T列のv3区分は前版（v2）からの変更を示す。</t>
  </si>
  <si>
    <t xml:space="preserve">工数合計</t>
  </si>
  <si>
    <t xml:space="preserve">条件付き追加 合計</t>
  </si>
  <si>
    <t xml:space="preserve">WBS ID</t>
  </si>
  <si>
    <t xml:space="preserve">大項目</t>
  </si>
  <si>
    <t xml:space="preserve">中項目</t>
  </si>
  <si>
    <t xml:space="preserve">小項目</t>
  </si>
  <si>
    <t xml:space="preserve">実施内容・確認手順</t>
  </si>
  <si>
    <t xml:space="preserve">完了条件</t>
  </si>
  <si>
    <t xml:space="preserve">証跡・成果物</t>
  </si>
  <si>
    <t xml:space="preserve">評価方法</t>
  </si>
  <si>
    <t xml:space="preserve">主対応枝番号（F列）</t>
  </si>
  <si>
    <t xml:space="preserve">開始予定</t>
  </si>
  <si>
    <t xml:space="preserve">終了予定</t>
  </si>
  <si>
    <t xml:space="preserve">基本工数（人日）</t>
  </si>
  <si>
    <t xml:space="preserve">前提・依存WBS</t>
  </si>
  <si>
    <t xml:space="preserve">主担当（案）</t>
  </si>
  <si>
    <t xml:space="preserve">協力先（案）</t>
  </si>
  <si>
    <t xml:space="preserve">状態</t>
  </si>
  <si>
    <t xml:space="preserve">参考資料ID</t>
  </si>
  <si>
    <t xml:space="preserve">実施区分</t>
  </si>
  <si>
    <t xml:space="preserve">追加工数（人日）</t>
  </si>
  <si>
    <t xml:space="preserve">v3区分</t>
  </si>
  <si>
    <t xml:space="preserve">v3変更要約</t>
  </si>
  <si>
    <t xml:space="preserve">1.01</t>
  </si>
  <si>
    <t xml:space="preserve">1. 評価準備・環境構築</t>
  </si>
  <si>
    <t xml:space="preserve">評価範囲</t>
  </si>
  <si>
    <t xml:space="preserve">利用構成・責任分界の確定</t>
  </si>
  <si>
    <t xml:space="preserve">利用業務、Drive／M365／VDI、社内サーバー接続、扱うデータ、管理対象端末を整理する。ChromeOS端末と接続先の評価責任を分ける。初日に評価責任者へ、O～Xの評価対象範囲（Chromebook導入範囲か全社か）と2024年説明資料の入手を依頼する。</t>
  </si>
  <si>
    <t xml:space="preserve">評価境界・対象サービス・責任者を関係者が合意している。評価対象範囲と説明資料の確認依頼を発出済み。</t>
  </si>
  <si>
    <t xml:space="preserve">構成図・データフロー・責任分界表</t>
  </si>
  <si>
    <t xml:space="preserve">設計確認</t>
  </si>
  <si>
    <t xml:space="preserve">横断・補足（個別対応は対応表）</t>
  </si>
  <si>
    <t xml:space="preserve">なし</t>
  </si>
  <si>
    <t xml:space="preserve">SE（氏名未定）</t>
  </si>
  <si>
    <t xml:space="preserve">業務担当・セキュリティ担当</t>
  </si>
  <si>
    <t xml:space="preserve">未着手</t>
  </si>
  <si>
    <t xml:space="preserve">I01,G01</t>
  </si>
  <si>
    <t xml:space="preserve">計画・評価・運用</t>
  </si>
  <si>
    <t xml:space="preserve">変更</t>
  </si>
  <si>
    <t xml:space="preserve">初日に評価対象範囲・2024年説明資料の確認依頼を追加（工数据置）</t>
  </si>
  <si>
    <t xml:space="preserve">1.02</t>
  </si>
  <si>
    <t xml:space="preserve">231項目の適用性・担当割当</t>
  </si>
  <si>
    <t xml:space="preserve">評価項目対応表を全行確認し、対象／対象外／確認中、実機試験／仕様確認／運用証跡を決める。Windows、AD、DC、IaC、OTは接続先も確認する。原票の入力ルール（N列の参照エラー、DC＝ドメインコントローラー、n/aの意味、O列の全行入力、旧期限）を確認して確定する。担当部署・回答責任者・回答者（原票V～X）を割り当て、証跡依頼パッケージ（4.04a～d、5.01、5.07a、5.08向け。回答期限付き）を10/9までに送付する。</t>
  </si>
  <si>
    <t xml:space="preserve">231項目に担当（V～X）と評価方法があり、対象外理由と未確定事項が明示されている。入力ルールが確定し、証跡依頼が回答期限付きで送付されている。</t>
  </si>
  <si>
    <t xml:space="preserve">適用性一覧・証跡依頼一覧・入力ルール確認記録</t>
  </si>
  <si>
    <t xml:space="preserve">資料確認</t>
  </si>
  <si>
    <t xml:space="preserve">36, 37, 4, 5, 6, 7</t>
  </si>
  <si>
    <t xml:space="preserve">各システム管理者・セキュリティ担当</t>
  </si>
  <si>
    <t xml:space="preserve">I01,I02</t>
  </si>
  <si>
    <t xml:space="preserve">旧6.02の入力ルール確認を前倒しで統合（+0.25）。証跡依頼を10/9までに送付</t>
  </si>
  <si>
    <t xml:space="preserve">1.03</t>
  </si>
  <si>
    <t xml:space="preserve">評価基準</t>
  </si>
  <si>
    <t xml:space="preserve">合格条件・成熟度基準の合意</t>
  </si>
  <si>
    <t xml:space="preserve">社内の2024年説明資料を入手し成熟度基準を確認する。O～Xの評価対象範囲（Chromebook導入範囲／全社）と、複数システム時の案分方法（原票D36）、会社名コードを評価責任者と確認する。ロック時間、更新期限、ログ期間、RPO／RTO、導入不可条件を決める。</t>
  </si>
  <si>
    <t xml:space="preserve">PoC合否と運用成熟度を区別し、評価対象範囲・案分方針・判定基準が承認されている。</t>
  </si>
  <si>
    <t xml:space="preserve">評価基準・合格条件一覧</t>
  </si>
  <si>
    <t xml:space="preserve">合意形成</t>
  </si>
  <si>
    <t xml:space="preserve">評価責任者・セキュリティ担当</t>
  </si>
  <si>
    <t xml:space="preserve">I01,I03</t>
  </si>
  <si>
    <t xml:space="preserve">評価対象範囲・案分方針・会社名コードの確認を追加（工数据置）</t>
  </si>
  <si>
    <t xml:space="preserve">1.04</t>
  </si>
  <si>
    <t xml:space="preserve">契約・機能</t>
  </si>
  <si>
    <t xml:space="preserve">ライセンス・機能適用範囲確認</t>
  </si>
  <si>
    <t xml:space="preserve">CEU、Workspace、追加ライセンスの有無を確認する。DLP、Context-Aware Access、監査・調査機能を機能別に照合する。Driveのランサムウェア検知・ファイル復元は、対応エディション、Drive for desktop前提の範囲、ChromeOSでの適用有無を確認する。</t>
  </si>
  <si>
    <t xml:space="preserve">必要機能・契約差分・試用期限が整理され、未契約と対象外を混同していない。Driveランサムウェア検知の適用範囲（ChromeOSの扱い）が明記されている。</t>
  </si>
  <si>
    <t xml:space="preserve">機能・ライセンス対応表（Drive勒索検知を含む）</t>
  </si>
  <si>
    <t xml:space="preserve">仕様確認</t>
  </si>
  <si>
    <t xml:space="preserve">契約担当・販売店</t>
  </si>
  <si>
    <t xml:space="preserve">G02,G07,G14,G18,G19</t>
  </si>
  <si>
    <t xml:space="preserve">仕様確認中心</t>
  </si>
  <si>
    <t xml:space="preserve">Driveランサムウェア検知・ファイル復元の対応版・適用範囲を確認項目に追加（工数据置）</t>
  </si>
  <si>
    <t xml:space="preserve">1.05</t>
  </si>
  <si>
    <t xml:space="preserve">試験計画</t>
  </si>
  <si>
    <t xml:space="preserve">試験ケース・証跡ルール作成</t>
  </si>
  <si>
    <t xml:space="preserve">各WBSから試験IDを採番し、前提、操作、期待結果、実結果、判定、実施者を定義する。証跡に日時・端末・ユーザー・OU・ポリシー値を含める。</t>
  </si>
  <si>
    <t xml:space="preserve">試験を再現でき、評価枝番号から証跡を追跡できる。</t>
  </si>
  <si>
    <t xml:space="preserve">試験項目書・証跡命名規則</t>
  </si>
  <si>
    <t xml:space="preserve">1.02,1.03,1.04</t>
  </si>
  <si>
    <t xml:space="preserve">セキュリティ担当</t>
  </si>
  <si>
    <t xml:space="preserve">I01,G03,G04</t>
  </si>
  <si>
    <t xml:space="preserve">日程変更</t>
  </si>
  <si>
    <t xml:space="preserve">区間容量検査を満たすよう作業窓を調整（旧10/09～10/13）</t>
  </si>
  <si>
    <t xml:space="preserve">1.06</t>
  </si>
  <si>
    <t xml:space="preserve">環境準備</t>
  </si>
  <si>
    <t xml:space="preserve">テナント・OU・試験アカウント準備</t>
  </si>
  <si>
    <t xml:space="preserve">1.04と並行して既存の利用可能環境を確認し、試験OU・一般／管理／組織外アカウント・無害な試験データを準備する。1.09でネットワーク申請も開始する。</t>
  </si>
  <si>
    <t xml:space="preserve">必要な権限・アカウント・ネットワークが利用可能。</t>
  </si>
  <si>
    <t xml:space="preserve">試験環境一覧</t>
  </si>
  <si>
    <t xml:space="preserve">環境構築</t>
  </si>
  <si>
    <t xml:space="preserve">1.01（1.04と並行）</t>
  </si>
  <si>
    <t xml:space="preserve">Workspace管理者</t>
  </si>
  <si>
    <t xml:space="preserve">G01,G02</t>
  </si>
  <si>
    <t xml:space="preserve">依存を「1.01（1.04と並行）」に修正（v2は1.04終了前に開始する矛盾）</t>
  </si>
  <si>
    <t xml:space="preserve">1.07</t>
  </si>
  <si>
    <t xml:space="preserve">企業登録・資産登録</t>
  </si>
  <si>
    <t xml:space="preserve">機種、シリアル、OS、更新期限を記録し企業登録する。管理コンソールでOU・状態を確認し、Wi-Fiと基本ポリシーを配布する。</t>
  </si>
  <si>
    <t xml:space="preserve">対象機が管理対象となり、資産情報とポリシー適用が確認できる。</t>
  </si>
  <si>
    <t xml:space="preserve">端末台帳・登録記録</t>
  </si>
  <si>
    <t xml:space="preserve">実機試験</t>
  </si>
  <si>
    <t xml:space="preserve">1.06,1.10</t>
  </si>
  <si>
    <t xml:space="preserve">端末管理者</t>
  </si>
  <si>
    <t xml:space="preserve">G01,G03,G10</t>
  </si>
  <si>
    <t xml:space="preserve">実機検証</t>
  </si>
  <si>
    <t xml:space="preserve">維持</t>
  </si>
  <si>
    <t xml:space="preserve">1.08</t>
  </si>
  <si>
    <t xml:space="preserve">ポリシー基線・反映確認</t>
  </si>
  <si>
    <t xml:space="preserve">承認した設定値を保存する。chrome://policy等で実効値を確認し、OU継承、再ログイン・再起動、反映時間を記録する。</t>
  </si>
  <si>
    <t xml:space="preserve">管理画面の設定と端末の実効値が一致し、反映条件が記録されている。</t>
  </si>
  <si>
    <t xml:space="preserve">設定基線・ポリシー出力</t>
  </si>
  <si>
    <t xml:space="preserve">32, 33, 34, 35</t>
  </si>
  <si>
    <t xml:space="preserve">G03,G04</t>
  </si>
  <si>
    <t xml:space="preserve">区間容量検査を満たすよう作業窓を調整（旧10/14～10/14）</t>
  </si>
  <si>
    <t xml:space="preserve">1.09</t>
  </si>
  <si>
    <t xml:space="preserve">接続準備</t>
  </si>
  <si>
    <t xml:space="preserve">接続要件・申請・リードタイム確認</t>
  </si>
  <si>
    <t xml:space="preserve">Workspace登録・更新・VDI等の宛先、Proxy許可リスト、Wi-Fi認証、企業ルート証明書、端末証明書の配布方法を担当へ確認する。必要申請と回答期限を合意する。</t>
  </si>
  <si>
    <t xml:space="preserve">依頼先・申請内容・回答期限と接続完了条件が明確。待ち時間は作業工数と分けて追跡する。</t>
  </si>
  <si>
    <t xml:space="preserve">接続要件・申請台帳</t>
  </si>
  <si>
    <t xml:space="preserve">調整・既存設計確認</t>
  </si>
  <si>
    <t xml:space="preserve">ネットワーク・VDI・証明書管理者</t>
  </si>
  <si>
    <t xml:space="preserve">G01,G03,G04</t>
  </si>
  <si>
    <t xml:space="preserve">接続申請・調整</t>
  </si>
  <si>
    <t xml:space="preserve">1.10</t>
  </si>
  <si>
    <t xml:space="preserve">登録用ネットワーク・証明書の基本確認</t>
  </si>
  <si>
    <t xml:space="preserve">承認済み接続方式で登録に必要な通信を確立する。証明書・Proxyが登録前に必要な場合の初期設定経路を確認し、管理通信と更新通信を確認する。</t>
  </si>
  <si>
    <t xml:space="preserve">企業登録できる接続経路があり、証明書警告を無視せず通信できる。</t>
  </si>
  <si>
    <t xml:space="preserve">初期接続・証明書確認記録</t>
  </si>
  <si>
    <t xml:space="preserve">1.06,1.09</t>
  </si>
  <si>
    <t xml:space="preserve">ネットワーク・証明書管理者</t>
  </si>
  <si>
    <t xml:space="preserve">G01,G03</t>
  </si>
  <si>
    <t xml:space="preserve">基本接続の実機確認</t>
  </si>
  <si>
    <t xml:space="preserve">区間容量検査を満たすよう作業窓を調整（旧10/13～10/13）</t>
  </si>
  <si>
    <t xml:space="preserve">1.11</t>
  </si>
  <si>
    <t xml:space="preserve">VDI・M365・業務サービスの基本接続</t>
  </si>
  <si>
    <t xml:space="preserve">企業登録後、利用予定の業務サービス・VDIに試験アカウントで接続する。認証・画面表示・必須業務操作を確認し、通信不備は直ちに担当へ依頼する。あわせて業務アプリ互換チェックリスト（主要業務アプリ、周辺機器、印刷、ビデオ会議）を作成し、業務部門に実施を依頼して結果を回収する。</t>
  </si>
  <si>
    <t xml:space="preserve">主要サービスの基本利用可否が判明し、阻害要因を早期に課題化できる。業務アプリ互換の結果が6.05の業務影響に使える形で整理されている。正式制御試験は4.03で実施する。</t>
  </si>
  <si>
    <t xml:space="preserve">業務接続確認・接続課題一覧・業務アプリ互換チェックリスト</t>
  </si>
  <si>
    <t xml:space="preserve">1.07,1.10</t>
  </si>
  <si>
    <t xml:space="preserve">VDI・M365・業務システム担当・業務部門</t>
  </si>
  <si>
    <t xml:space="preserve">I01,G01,C02</t>
  </si>
  <si>
    <t xml:space="preserve">業務アプリ互換チェックリスト（業務部門が実施・SEは作成と回収）を追加（+0.15）</t>
  </si>
  <si>
    <t xml:space="preserve">2.01</t>
  </si>
  <si>
    <t xml:space="preserve">2. 認証・権限管理</t>
  </si>
  <si>
    <t xml:space="preserve">認証・アカウント</t>
  </si>
  <si>
    <t xml:space="preserve">会社アカウント以外の端末ログイン制限</t>
  </si>
  <si>
    <t xml:space="preserve">許可リストを設定し、会社・個人Gmail・他組織アカウントでログインする。許可・拒否の両方を確認する。</t>
  </si>
  <si>
    <t xml:space="preserve">承認済み会社アカウントのみ端末へログインできる。</t>
  </si>
  <si>
    <t xml:space="preserve">認証試験記録</t>
  </si>
  <si>
    <t xml:space="preserve">G03</t>
  </si>
  <si>
    <t xml:space="preserve">区間容量検査を満たすよう作業窓を調整（旧10/15～10/15）</t>
  </si>
  <si>
    <t xml:space="preserve">2.02</t>
  </si>
  <si>
    <t xml:space="preserve">追加アカウント・マルチログイン制限</t>
  </si>
  <si>
    <t xml:space="preserve">端末ログイン後の個人アカウント追加と、複数ユーザー同時ログインを別々に試す。Webサービス内の個人アカウント利用も確認する。</t>
  </si>
  <si>
    <t xml:space="preserve">承認済みアカウント範囲を各経路で維持できる。制御対象外経路は記録する。</t>
  </si>
  <si>
    <t xml:space="preserve">追加ログイン試験記録</t>
  </si>
  <si>
    <t xml:space="preserve">G04,G05</t>
  </si>
  <si>
    <t xml:space="preserve">2.03</t>
  </si>
  <si>
    <t xml:space="preserve">MFA・フィッシング耐性評価</t>
  </si>
  <si>
    <t xml:space="preserve">オンライン再認証で第2要素の成功・拒否・未登録を確認する。採用する認証方式のフィッシング耐性と復旧手順を評価する。パスキーやセキュリティキーなどフィッシング耐性のある方式の可否と、登録・失効手順も確認する。</t>
  </si>
  <si>
    <t xml:space="preserve">対象サービスで承認方式が強制され、例外・復旧経路が管理されている。</t>
  </si>
  <si>
    <t xml:space="preserve">MFA設定・認証記録・例外一覧</t>
  </si>
  <si>
    <t xml:space="preserve">実機・仕様確認</t>
  </si>
  <si>
    <t xml:space="preserve">72, 73, 74, 164</t>
  </si>
  <si>
    <t xml:space="preserve">1.03,2.01</t>
  </si>
  <si>
    <t xml:space="preserve">IdP管理者</t>
  </si>
  <si>
    <t xml:space="preserve">I01,G03</t>
  </si>
  <si>
    <t xml:space="preserve">パスキー／セキュリティキーの可否・登録・失効手順を追加（工数据置）</t>
  </si>
  <si>
    <t xml:space="preserve">2.04</t>
  </si>
  <si>
    <t xml:space="preserve">離線ログイン・画面ロック</t>
  </si>
  <si>
    <t xml:space="preserve">オンライン認証、キャッシュによる離線ログイン、PIN等のロック解除を区別して試す。無操作・スリープ復帰時のロックを測定する。最大セッション時間と強制オンライン再認証の頻度も確認する。</t>
  </si>
  <si>
    <t xml:space="preserve">承認したロック時間・離線利用条件・セッション上限を満たす。毎回のオンラインMFAと混同しない。</t>
  </si>
  <si>
    <t xml:space="preserve">離線・ロック試験記録</t>
  </si>
  <si>
    <t xml:space="preserve">G03,G04,I03,C02</t>
  </si>
  <si>
    <t xml:space="preserve">最大セッション時間・強制オンライン再認証の頻度を追加（工数据置）</t>
  </si>
  <si>
    <t xml:space="preserve">2.05</t>
  </si>
  <si>
    <t xml:space="preserve">認証情報保護</t>
  </si>
  <si>
    <t xml:space="preserve">パスワード・保存・認証失敗対策</t>
  </si>
  <si>
    <t xml:space="preserve">パスワード要件、ブラウザ保存、承認済み管理ツールを確認する。漏えい資格情報の検知とパスワード再利用警告（Password Alert）の可否を確認する。少数の試験用失敗ログインで記録・防御仕様を確認する。</t>
  </si>
  <si>
    <t xml:space="preserve">元要件との差分が整理される。固定回数ロックが非対応の場合は代替策を承認する。</t>
  </si>
  <si>
    <t xml:space="preserve">認証情報保護確認表</t>
  </si>
  <si>
    <t xml:space="preserve">78, 75, 81, 82, 86, 83, 84, 85</t>
  </si>
  <si>
    <t xml:space="preserve">1.03,2.03</t>
  </si>
  <si>
    <t xml:space="preserve">IdP管理者・SOC</t>
  </si>
  <si>
    <t xml:space="preserve">I01,G04,G06,C02</t>
  </si>
  <si>
    <t xml:space="preserve">漏えい資格情報検知・Password Alertの可否を追加（工数据置）</t>
  </si>
  <si>
    <t xml:space="preserve">2.06</t>
  </si>
  <si>
    <t xml:space="preserve">権限管理</t>
  </si>
  <si>
    <t xml:space="preserve">一般権限と管理者権限の分離</t>
  </si>
  <si>
    <t xml:space="preserve">一般アカウントで管理操作を試し拒否を確認する。管理者ロールの範囲、専用管理アカウント、委託先権限を確認する。管理コンソール自体の保護として、スーパー管理者の人数と緊急用（break-glass）アカウント、管理者へのセキュリティキー必須化、管理コンソールを管理端末からのみ利用させる制御、復旧オプションとバックアップコードを確認する。</t>
  </si>
  <si>
    <t xml:space="preserve">必要最小限の権限のみ付与され、管理用と日常用アカウントが分離されている。管理コンソールの保護方式と緊急時の入口が記録されている。</t>
  </si>
  <si>
    <t xml:space="preserve">権限一覧・権限試験記録・管理コンソール保護確認表</t>
  </si>
  <si>
    <t xml:space="preserve">実機・運用確認</t>
  </si>
  <si>
    <t xml:space="preserve">76, 80, 92, 129, 124, 79</t>
  </si>
  <si>
    <t xml:space="preserve">Workspace管理者・委託先管理担当</t>
  </si>
  <si>
    <t xml:space="preserve">I01,G15,C02</t>
  </si>
  <si>
    <t xml:space="preserve">管理コンソール自体の保護（break-glass、セキュリティキー、管理端末限定）を追加（+0.25）</t>
  </si>
  <si>
    <t xml:space="preserve">2.07</t>
  </si>
  <si>
    <t xml:space="preserve">アカウント運用</t>
  </si>
  <si>
    <t xml:space="preserve">停用・権限棚卸し・セッション処置</t>
  </si>
  <si>
    <t xml:space="preserve">試験ユーザーを停止し、新規ログインと既存セッションを確認する。OAuth許可・セッション失効、退職処理、四半期棚卸し手順も確認する。</t>
  </si>
  <si>
    <t xml:space="preserve">停止後のアクセス制限範囲と反映時間が記録され、離線時の残存リスクが明示される。</t>
  </si>
  <si>
    <t xml:space="preserve">停用試験・棚卸し手順</t>
  </si>
  <si>
    <t xml:space="preserve">132, 128</t>
  </si>
  <si>
    <t xml:space="preserve">IdP管理者・人事窓口</t>
  </si>
  <si>
    <t xml:space="preserve">I01,G08</t>
  </si>
  <si>
    <t xml:space="preserve">区間容量検査を満たすよう作業窓を調整（旧10/20～10/20）</t>
  </si>
  <si>
    <t xml:space="preserve">3.01</t>
  </si>
  <si>
    <t xml:space="preserve">3. 端末・アプリ・更新管理</t>
  </si>
  <si>
    <t xml:space="preserve">端末保護</t>
  </si>
  <si>
    <t xml:space="preserve">ゲスト・開発者モード・Linux環境制限</t>
  </si>
  <si>
    <t xml:space="preserve">ゲスト経路を確認する。強制再登録の設定と開発者モード制限を検証する。Linux開発環境、Androidデバッグの許可範囲を別途確認する。DevTools、chrome://flags、Crosh、管理ゲストセッションの可否も確認する。</t>
  </si>
  <si>
    <t xml:space="preserve">未承認の利用・実行環境を開けない。設定名称と端末の挙動を保存する。</t>
  </si>
  <si>
    <t xml:space="preserve">ハードニング試験記録</t>
  </si>
  <si>
    <t xml:space="preserve">G03,G04,G09,C02,C04</t>
  </si>
  <si>
    <t xml:space="preserve">DevTools・chrome://flags・Crosh・管理ゲストセッションの可否を追加（+0.15）</t>
  </si>
  <si>
    <t xml:space="preserve">3.02</t>
  </si>
  <si>
    <t xml:space="preserve">標準保護仕様・実効設定・ユーザー分離</t>
  </si>
  <si>
    <t xml:space="preserve">Google公式仕様でVerified Boot、サンドボックス、暗号化の対象を確認する。3.01の実効設定を引用し、一般ユーザー間で保存したダミーファイルが見えないことを確認する。exe試験は原則省略する。</t>
  </si>
  <si>
    <t xml:space="preserve">仕様上の保護と実機確認を区別して記録。Linux禁止を全スクリプト実行不可の証明にしない。</t>
  </si>
  <si>
    <t xml:space="preserve">仕様根拠・設定証跡・分離確認記録</t>
  </si>
  <si>
    <t xml:space="preserve">仕様＋限定実機</t>
  </si>
  <si>
    <t xml:space="preserve">114, 115</t>
  </si>
  <si>
    <t xml:space="preserve">G11,I01</t>
  </si>
  <si>
    <t xml:space="preserve">3.03</t>
  </si>
  <si>
    <t xml:space="preserve">アプリ管理</t>
  </si>
  <si>
    <t xml:space="preserve">拡張機能の許可・拒否・強制配布</t>
  </si>
  <si>
    <t xml:space="preserve">未許可拡張の導入を試す。許可した拡張の導入、強制配布、削除制限を確認し、申請・承認・取消手順を作成する。PWA（Webアプリ）の導入可否と、未承認のリモートアクセス系拡張・Chrome Remote Desktopのホスト／クライアント制限を確認する。</t>
  </si>
  <si>
    <t xml:space="preserve">承認済み拡張・Webアプリのみ利用でき、例外と変更が追跡できる。リモートアクセス系ツールの利用範囲が管理されている。</t>
  </si>
  <si>
    <t xml:space="preserve">拡張機能・PWA試験・承認一覧</t>
  </si>
  <si>
    <t xml:space="preserve">104, 106, 125, 26</t>
  </si>
  <si>
    <t xml:space="preserve">G04,C02,C03</t>
  </si>
  <si>
    <t xml:space="preserve">PWA・リモートアクセス系ツール（拡張・Chrome Remote Desktop）の制御を追加（+0.20）</t>
  </si>
  <si>
    <t xml:space="preserve">3.04</t>
  </si>
  <si>
    <t xml:space="preserve">Androidアプリ・APK経路確認</t>
  </si>
  <si>
    <t xml:space="preserve">Android利用の要否を決め、禁止または許可リストを適用する。未許可アプリ、外部APK導入経路、デバッグ利用を確認する。未承認のリモートアクセス系Androidアプリの導入可否も確認する。</t>
  </si>
  <si>
    <t xml:space="preserve">承認した配布経路のみ利用できる。機種非対応なら仕様と理由を記録する。</t>
  </si>
  <si>
    <t xml:space="preserve">Android試験記録</t>
  </si>
  <si>
    <t xml:space="preserve">3.01,3.03</t>
  </si>
  <si>
    <t xml:space="preserve">G04</t>
  </si>
  <si>
    <t xml:space="preserve">未承認のリモートアクセス系Androidアプリの導入可否を追加（工数据置）</t>
  </si>
  <si>
    <t xml:space="preserve">3.05</t>
  </si>
  <si>
    <t xml:space="preserve">OAuthアプリ・API権限管理</t>
  </si>
  <si>
    <t xml:space="preserve">承認済み試験アプリと未承認アプリへのデータアクセスを確認する。要求スコープ、既存同意、許可取消を確認する。</t>
  </si>
  <si>
    <t xml:space="preserve">承認範囲を超えるデータアクセスを制御でき、許可取消の結果が記録される。</t>
  </si>
  <si>
    <t xml:space="preserve">OAuth設定・認可試験記録</t>
  </si>
  <si>
    <t xml:space="preserve">140</t>
  </si>
  <si>
    <t xml:space="preserve">1.04,2.06</t>
  </si>
  <si>
    <t xml:space="preserve">G08</t>
  </si>
  <si>
    <t xml:space="preserve">3.06</t>
  </si>
  <si>
    <t xml:space="preserve">更新・脆弱性</t>
  </si>
  <si>
    <t xml:space="preserve">自動更新・再起動・最低バージョン</t>
  </si>
  <si>
    <t xml:space="preserve">利用可能な更新を用いて更新前後を記録し、再起動と最低バージョンの期限動作を確認する。更新が無い場合は実更新を未検証とする。</t>
  </si>
  <si>
    <t xml:space="preserve">設定確認と実更新を区別し、期限・ユーザー回避可否を評価できる。</t>
  </si>
  <si>
    <t xml:space="preserve">更新試験・バージョン記録</t>
  </si>
  <si>
    <t xml:space="preserve">1.07,1.03</t>
  </si>
  <si>
    <t xml:space="preserve">G03,G10</t>
  </si>
  <si>
    <t xml:space="preserve">3.07</t>
  </si>
  <si>
    <t xml:space="preserve">脆弱性情報・AUE・更新失敗運用</t>
  </si>
  <si>
    <t xml:space="preserve">対象機種の更新期限、脆弱性情報の収集元、適用期限、オフライン・更新失敗・期限切れ端末の扱いを定める。</t>
  </si>
  <si>
    <t xml:space="preserve">検出から対処までの担当・期限・代替策が定義されている。</t>
  </si>
  <si>
    <t xml:space="preserve">更新運用手順・例外台帳</t>
  </si>
  <si>
    <t xml:space="preserve">仕様・運用確認</t>
  </si>
  <si>
    <t xml:space="preserve">28, 29, 30, 31, 49, 50, 51</t>
  </si>
  <si>
    <t xml:space="preserve">1.07（3.06と並行）</t>
  </si>
  <si>
    <t xml:space="preserve">G10,I01</t>
  </si>
  <si>
    <t xml:space="preserve">依存を「1.07（3.06と並行）」に修正（v2は3.06終了前に開始する矛盾）</t>
  </si>
  <si>
    <t xml:space="preserve">3.08</t>
  </si>
  <si>
    <t xml:space="preserve">資産・構成管理</t>
  </si>
  <si>
    <t xml:space="preserve">資産・アプリ台帳と構成差分</t>
  </si>
  <si>
    <t xml:space="preserve">デバイス・アプリ情報を台帳と照合する。試験OUの設定を変更し、基線との差分、変更ログ、復元を確認する。</t>
  </si>
  <si>
    <t xml:space="preserve">所有者・重要度・依存関係が台帳にあり、設定差分を検出・修正できる。</t>
  </si>
  <si>
    <t xml:space="preserve">資産台帳・構成差分・変更記録</t>
  </si>
  <si>
    <t xml:space="preserve">119, 120, 121, 122, 39, 40, 123, 41</t>
  </si>
  <si>
    <t xml:space="preserve">1.08,3.03</t>
  </si>
  <si>
    <t xml:space="preserve">資産管理担当</t>
  </si>
  <si>
    <t xml:space="preserve">3.09</t>
  </si>
  <si>
    <t xml:space="preserve">防御範囲評価</t>
  </si>
  <si>
    <t xml:space="preserve">標準機能とAV／EDR要件の差分確認</t>
  </si>
  <si>
    <t xml:space="preserve">公式アーキテクチャ資料と既存のセキュリティ対策を用い、予防・検知・隔離・取証のカバー範囲を整理する。実マルウェアや検出率試験は行わない。未カバー部分は代替策を提示する。</t>
  </si>
  <si>
    <t xml:space="preserve">原要件、仕様根拠、未カバー能力、既存対策、残余リスクを示し、安全評価責任者に受容可否を確認する。</t>
  </si>
  <si>
    <t xml:space="preserve">AV／EDR適合性・代替策評価表</t>
  </si>
  <si>
    <t xml:space="preserve">仕様・既存証跡</t>
  </si>
  <si>
    <t xml:space="preserve">102, 103, 107, 174, 108, 109, 172, 173</t>
  </si>
  <si>
    <t xml:space="preserve">3.02,3.03</t>
  </si>
  <si>
    <t xml:space="preserve">セキュリティ担当・SOC</t>
  </si>
  <si>
    <t xml:space="preserve">I01,G11</t>
  </si>
  <si>
    <t xml:space="preserve">既存証跡を活用</t>
  </si>
  <si>
    <t xml:space="preserve">4.01</t>
  </si>
  <si>
    <t xml:space="preserve">4. 通信・データ保護</t>
  </si>
  <si>
    <t xml:space="preserve">Web保護</t>
  </si>
  <si>
    <t xml:space="preserve">Safe Browsing・ダウンロード制御</t>
  </si>
  <si>
    <t xml:space="preserve">無害な公式テストページ等で警告・ブロックを確認する。ユーザーによる回避、許可ファイルの業務影響を記録する。証明書エラーの上書き可否、Safe Browsingの強化モードと警告回避禁止の設定も確認する。</t>
  </si>
  <si>
    <t xml:space="preserve">承認済みポリシーが強制され、警告と遮断を区別して記録できる。</t>
  </si>
  <si>
    <t xml:space="preserve">Web保護試験記録</t>
  </si>
  <si>
    <t xml:space="preserve">178</t>
  </si>
  <si>
    <t xml:space="preserve">G04,G06,C02</t>
  </si>
  <si>
    <t xml:space="preserve">証明書エラー上書き・Safe Browsing強化モード・警告回避禁止を追加（工数据置）</t>
  </si>
  <si>
    <t xml:space="preserve">4.02</t>
  </si>
  <si>
    <t xml:space="preserve">URL・サイト権限・情報送信制御</t>
  </si>
  <si>
    <t xml:space="preserve">安全な試験URLで許可／拒否を確認する。通知、追跡関連設定、入力補完・診断情報等の送信先と必要性を確認する。ChromeOSの生成AI機能（Gemini等）の可否と外部送信を確認する。原票のTracking prevention／Website typo protectionはEdgeの機能名のため、Chrome／ChromeOSでの同等機能の有無を確認し、無ければ代替策を記録する。</t>
  </si>
  <si>
    <t xml:space="preserve">業務アクセスを維持しつつ、不要なサイト権限・情報送信が制御される。同等機能が無い項目は「直接の同等機能なし＋代替策」と記録し、満たしたとは扱わない。</t>
  </si>
  <si>
    <t xml:space="preserve">URL・ブラウザ設定確認表</t>
  </si>
  <si>
    <t xml:space="preserve">177, 179, 176</t>
  </si>
  <si>
    <t xml:space="preserve">G04,G06,C03,G21</t>
  </si>
  <si>
    <t xml:space="preserve">生成AI機能の可否・Edge固有機能の扱いを追加（工数据置）</t>
  </si>
  <si>
    <t xml:space="preserve">4.03</t>
  </si>
  <si>
    <t xml:space="preserve">ネットワーク</t>
  </si>
  <si>
    <t xml:space="preserve">通信経路・利用者変更・制御迂回の検証</t>
  </si>
  <si>
    <t xml:space="preserve">1.09～1.11で打通済みの会社／外部ネットワークで、承認済みVPN・Proxy・DNS経路と許可／拒否を確認する。利用者が設定を変更して制御を回避できないか確認する。</t>
  </si>
  <si>
    <t xml:space="preserve">基本疎通とは別に通信制御の有効性を記録し、制御できない経路は残余リスクとして記載する。</t>
  </si>
  <si>
    <t xml:space="preserve">ネットワーク試験・データフロー</t>
  </si>
  <si>
    <t xml:space="preserve">52, 53, 113, 144, 145, 96, 27</t>
  </si>
  <si>
    <t xml:space="preserve">1.10,1.11</t>
  </si>
  <si>
    <t xml:space="preserve">ネットワーク担当</t>
  </si>
  <si>
    <t xml:space="preserve">区間容量検査を満たすよう作業窓を調整（旧10/23～10/23）</t>
  </si>
  <si>
    <t xml:space="preserve">4.04a</t>
  </si>
  <si>
    <t xml:space="preserve">接続先管理</t>
  </si>
  <si>
    <t xml:space="preserve">接続先証跡確認（AD／DC／Windows管理・27項目）</t>
  </si>
  <si>
    <t xml:space="preserve">AD管理者から、ドメインコントローラー（原票の「データセンター」は原文のDC＝Domain Controllerの訳）、特権アカウント、PowerShell／スクリプト、LSASS・資格情報保護等の設定証跡を受領する（27項目）。サーバー側の再試験は原則行わず、Chromebook導入で変わる経路のみ1.11の結果を参照して補足確認する。</t>
  </si>
  <si>
    <t xml:space="preserve">端末側と接続先の評価責任・証跡が明確。既存証跡不足や新規経路は課題として担当へ引き継ぎ、回答期限と状況を追跡できる。</t>
  </si>
  <si>
    <t xml:space="preserve">接続先評価・依存関係一覧（AD／Windows）</t>
  </si>
  <si>
    <t xml:space="preserve">既存証跡＋差分確認</t>
  </si>
  <si>
    <t xml:space="preserve">87, 88, 89, 101, 130, 131, 146, 147, 148, 149, 150, 151, 152, 153, 154, 155, 156, 157, 158, 159, 160, 161, 162, 168, 196, 202, 203</t>
  </si>
  <si>
    <t xml:space="preserve">AD／Windows管理者</t>
  </si>
  <si>
    <t xml:space="preserve">I01</t>
  </si>
  <si>
    <t xml:space="preserve">分割</t>
  </si>
  <si>
    <t xml:space="preserve">旧4.04（68項目・0.50人日）を責任者別に分割。回答期限と状態を個別に追跡</t>
  </si>
  <si>
    <t xml:space="preserve">4.04b</t>
  </si>
  <si>
    <t xml:space="preserve">接続先証跡確認（SMB／NTLM／暗号化・22項目）</t>
  </si>
  <si>
    <t xml:space="preserve">ファイルサーバー管理者から、SMBの版数・署名・暗号化、NTLM制限、NetBIOS関連の設定証跡を受領する（22項目）。Chromebook側のSMB／NTLMクライアント制御は4.09で確認する。</t>
  </si>
  <si>
    <t xml:space="preserve">接続先評価・依存関係一覧（SMB／NTLM／暗号化）</t>
  </si>
  <si>
    <t xml:space="preserve">54, 55, 56, 57, 58, 59, 60, 61, 62, 63, 64, 65, 66, 67, 68, 69, 70, 71, 163, 165, 166, 167</t>
  </si>
  <si>
    <t xml:space="preserve">ファイルサーバー・ストレージ管理者</t>
  </si>
  <si>
    <t xml:space="preserve">4.04c</t>
  </si>
  <si>
    <t xml:space="preserve">接続先証跡確認（VDI／RDP／リモート／RMM・14項目）</t>
  </si>
  <si>
    <t xml:space="preserve">VDI・リモートアクセス基盤の担当者から、RDP・リモート環境・RMM・公開サービス・不要機能の設定証跡を受領する（14項目）。端末側のリモートアクセス系ツールの制御は3.03／3.04で確認する。</t>
  </si>
  <si>
    <t xml:space="preserve">接続先評価・依存関係一覧（VDI／RDP／リモート／RMM）</t>
  </si>
  <si>
    <t xml:space="preserve">24, 25, 38, 42, 43, 44, 45, 46, 47, 48, 91, 141, 142, 223</t>
  </si>
  <si>
    <t xml:space="preserve">VDI・リモートアクセス基盤担当</t>
  </si>
  <si>
    <t xml:space="preserve">4.04d</t>
  </si>
  <si>
    <t xml:space="preserve">接続先証跡確認（仮想化・アプリ制御・ログ等・5項目）</t>
  </si>
  <si>
    <t xml:space="preserve">仮想化基盤、アプリケーション制御、アンチマルウェア運用、ツール使用調査、認証イベントログの既存証跡を担当者から受領し、ChromeOSで変わる点のみ補足する（5項目）。</t>
  </si>
  <si>
    <t xml:space="preserve">接続先評価・依存関係一覧（仮想化・アプリ制御・ログ等）</t>
  </si>
  <si>
    <t xml:space="preserve">105, 110, 133, 199, 224</t>
  </si>
  <si>
    <t xml:space="preserve">仮想化基盤・セキュリティ運用担当</t>
  </si>
  <si>
    <t xml:space="preserve">4.05</t>
  </si>
  <si>
    <t xml:space="preserve">データ持出し</t>
  </si>
  <si>
    <t xml:space="preserve">USB・外部記憶媒体制限</t>
  </si>
  <si>
    <t xml:space="preserve">会社方針の禁止または読取専用を設定し、試験ファイルの読込・書込・削除を試す。利用する媒体種別ごとに確認する。</t>
  </si>
  <si>
    <t xml:space="preserve">対象媒体で承認設定が効き、許可する周辺機器への影響も記録される。</t>
  </si>
  <si>
    <t xml:space="preserve">USB試験記録</t>
  </si>
  <si>
    <t xml:space="preserve">G04,I03</t>
  </si>
  <si>
    <t xml:space="preserve">4.06</t>
  </si>
  <si>
    <t xml:space="preserve">外部共有・印刷・コピー・ダウンロード</t>
  </si>
  <si>
    <t xml:space="preserve">試験データで外部ユーザー共有、リンク共有、印刷、コピー、ダウンロードを経路別に確認する。所有者／閲覧者権限を区別する。</t>
  </si>
  <si>
    <t xml:space="preserve">会社方針に対する可否と制御範囲が記録され、未対応経路が残余リスクに挙がる。</t>
  </si>
  <si>
    <t xml:space="preserve">データ持出し試験・例外一覧</t>
  </si>
  <si>
    <t xml:space="preserve">1.04,2.02</t>
  </si>
  <si>
    <t xml:space="preserve">データ所有部門・Workspace管理者</t>
  </si>
  <si>
    <t xml:space="preserve">G04,G07,I03</t>
  </si>
  <si>
    <t xml:space="preserve">4.07</t>
  </si>
  <si>
    <t xml:space="preserve">データ保護</t>
  </si>
  <si>
    <t xml:space="preserve">DLP・端末条件付きアクセスの適用評価</t>
  </si>
  <si>
    <t xml:space="preserve">対応ライセンス・採用方針を確認し、未採用／未契約時は差分と代替策を整理する。必要機能として採用する場合のみ、専用OU・ダミーデータ・非準拠端末で追加試験する。</t>
  </si>
  <si>
    <t xml:space="preserve">共有制限とDLPを区別し、対応可否・費用前提・代替策が明確である。</t>
  </si>
  <si>
    <t xml:space="preserve">機能差分・DLP等の試験記録</t>
  </si>
  <si>
    <t xml:space="preserve">仕様確認（実機は必要時）</t>
  </si>
  <si>
    <t xml:space="preserve">77, 23, 118, 126, 134, 22, 143, 127</t>
  </si>
  <si>
    <t xml:space="preserve">1.04,4.06</t>
  </si>
  <si>
    <t xml:space="preserve">セキュリティ担当・販売店</t>
  </si>
  <si>
    <t xml:space="preserve">G07,G14</t>
  </si>
  <si>
    <t xml:space="preserve">4.08</t>
  </si>
  <si>
    <t xml:space="preserve">メール・業務データ</t>
  </si>
  <si>
    <t xml:space="preserve">メール保護証跡・VBA適用範囲の確認</t>
  </si>
  <si>
    <t xml:space="preserve">実利用のメール基盤から添付制限・なりすまし対策等の既存証跡を受領する。Web版ExcelのVBA非実行は公式仕様で確認する。VDIのOfficeマクロ設定はVDI責任者へ照会する。</t>
  </si>
  <si>
    <t xml:space="preserve">端末側でVBAを使用しない根拠とVDI側の責任・証跡を明示。「マクロウイルスに免疫」と表現せず、メール対策の確認は残す。</t>
  </si>
  <si>
    <t xml:space="preserve">メール・マクロ対策確認表</t>
  </si>
  <si>
    <t xml:space="preserve">94, 95, 97, 98, 99, 100</t>
  </si>
  <si>
    <t xml:space="preserve">1.01,4.04a,4.04b,4.04c,4.04d</t>
  </si>
  <si>
    <t xml:space="preserve">メール・VDI管理者</t>
  </si>
  <si>
    <t xml:space="preserve">I01,G16</t>
  </si>
  <si>
    <t xml:space="preserve">区間容量検査を満たすよう作業窓を調整（旧10/30～10/30）</t>
  </si>
  <si>
    <t xml:space="preserve">4.09</t>
  </si>
  <si>
    <t xml:space="preserve">SMB／NTLMクライアント制御（Chromebook側）</t>
  </si>
  <si>
    <t xml:space="preserve">ネットワークファイル共有（SMB）の可否ポリシーを設定し、試験用共有へのマウント可否を許可・禁止の両方で確認する。許可する場合はNTLM認証とNetBIOS探索の設定を確認し、接続先の署名・暗号化はサーバー側の証跡（4.04b）で確認する。</t>
  </si>
  <si>
    <t xml:space="preserve">ChromeOSからのSMB接続が承認方針どおりに許可／禁止され、NTLM・NetBIOSの扱いと残余リスクが記録されている。</t>
  </si>
  <si>
    <t xml:space="preserve">SMB／NTLM試験記録・設定値一覧</t>
  </si>
  <si>
    <t xml:space="preserve">副：58, 60, 62, 163, 167</t>
  </si>
  <si>
    <t xml:space="preserve">ファイルサーバー管理者</t>
  </si>
  <si>
    <t xml:space="preserve">G03,G04,G20</t>
  </si>
  <si>
    <t xml:space="preserve">新規</t>
  </si>
  <si>
    <t xml:space="preserve">Chromebook側のSMB／NTLM／NetBIOS制御の実機確認を追加（0.25人日）</t>
  </si>
  <si>
    <t xml:space="preserve">5.01</t>
  </si>
  <si>
    <t xml:space="preserve">5. 復旧・監視・運用</t>
  </si>
  <si>
    <t xml:space="preserve">バックアップ</t>
  </si>
  <si>
    <t xml:space="preserve">バックアップ責任分界・既存復元証跡</t>
  </si>
  <si>
    <t xml:space="preserve">端末ローカルに重要データを残さない利用方針を確認する。Drive／M365／VDIの保護対象、バックアップ責任者、独立性、保存期間、RPO／RTOと既存復元記録を収集し、不足を整理する。Driveのごみ箱・版管理・管理者復元の保持期間（仕様）も確認する。</t>
  </si>
  <si>
    <t xml:space="preserve">既存復元証跡で評価可能か判断できる。同期・再アクセスを削除／上書きからの復元と混同しない。</t>
  </si>
  <si>
    <t xml:space="preserve">保存先・責任分界・既存復元証跡一覧</t>
  </si>
  <si>
    <t xml:space="preserve">既存証跡確認</t>
  </si>
  <si>
    <t xml:space="preserve">10, 138, 139, 1, 9, 136</t>
  </si>
  <si>
    <t xml:space="preserve">1.01,1.02</t>
  </si>
  <si>
    <t xml:space="preserve">データ所有者・バックアップ担当</t>
  </si>
  <si>
    <t xml:space="preserve">I01,C02</t>
  </si>
  <si>
    <t xml:space="preserve">Driveのごみ箱・版管理・管理者復元の保持期間（仕様）を追加。F3／F8は5.06へ移動</t>
  </si>
  <si>
    <t xml:space="preserve">5.02</t>
  </si>
  <si>
    <t xml:space="preserve">Drive復元確認と追加復元試験</t>
  </si>
  <si>
    <t xml:space="preserve">Driveについて、データ管理担当がダミーデータを削除・上書き（ランサムウェア被害を模した無害な一括変更）し、版の復元（複数ファイルの復元）を実施する。Drive for desktop前提の検知機能がChromeOSでも働くかを仕様確認と実機で確認する。M365・VDI・ファイルサーバー等のその他の保存先は、5.01で既存証跡が不足、または保存先や保護方式に変更がある場合のみ追加で実施する。SEは立会い・記録する。</t>
  </si>
  <si>
    <t xml:space="preserve">Driveの復元結果（内容・件数・権限・復旧時間）とChromeOSでの検知可否が記録されている。その他の保存先は実施または省略判断（既存証跡番号・判断者・理由）が残る。</t>
  </si>
  <si>
    <t xml:space="preserve">Drive復元記録・検知適用範囲メモ、追加復元記録または省略判断と既存証跡</t>
  </si>
  <si>
    <t xml:space="preserve">Driveは実機（必須）、その他は必要時のみ</t>
  </si>
  <si>
    <t xml:space="preserve">2, 227, 229, 188</t>
  </si>
  <si>
    <t xml:space="preserve">データ管理担当（SE立会）</t>
  </si>
  <si>
    <t xml:space="preserve">バックアップ担当</t>
  </si>
  <si>
    <t xml:space="preserve">I01,G18,G19,C02</t>
  </si>
  <si>
    <t xml:space="preserve">Drive必須＋その他は条件付き</t>
  </si>
  <si>
    <t xml:space="preserve">Drive部分を必須化（SE 0.25人日）。他の保存先は証跡不足時のみ（条件付き0.25人日）</t>
  </si>
  <si>
    <t xml:space="preserve">5.03</t>
  </si>
  <si>
    <t xml:space="preserve">監査・監視</t>
  </si>
  <si>
    <t xml:space="preserve">イベント記録・検索・出力</t>
  </si>
  <si>
    <t xml:space="preserve">ログイン成功失敗、管理変更、共有、OAuth等の試験イベントを発生させる。取得可能項目、時刻、主体、遅延、出力を記録する。あわせて端末側のログ・上報（Chromeイベント上報、端末OS／ハードウェア情報、システムログのアップロード）の可否と、端末上の失敗ログインが確認できるかを確認する。</t>
  </si>
  <si>
    <t xml:space="preserve">必要イベントの取得可否が明確で、ログ欠落を無条件に合格としない。端末側で取得できないイベントは代替策とともに記録される。</t>
  </si>
  <si>
    <t xml:space="preserve">ログ取得一覧・サンプル</t>
  </si>
  <si>
    <t xml:space="preserve">2.07,3.05,4.06</t>
  </si>
  <si>
    <t xml:space="preserve">SOC・Workspace管理者</t>
  </si>
  <si>
    <t xml:space="preserve">I01,G12,C02,C03</t>
  </si>
  <si>
    <t xml:space="preserve">端末側のログ・上報（Chromeイベント、システムログ、端末上の失敗ログイン）を追加（+0.15）</t>
  </si>
  <si>
    <t xml:space="preserve">5.04</t>
  </si>
  <si>
    <t xml:space="preserve">ログ保管・SIEM・告知ルール</t>
  </si>
  <si>
    <t xml:space="preserve">既存のログ保管・SIEM・通知運用を確認し、必要イベントが対象となるか照合する。新規保管基盤の構築は本PoCに含めず、不足は是正計画に記載する。通知経路は無害なイベントで確認する。</t>
  </si>
  <si>
    <t xml:space="preserve">保存・保護・監視担当が明確。枝170の13か月要件との差分が整理される。</t>
  </si>
  <si>
    <t xml:space="preserve">ログ保管設計・通知試験</t>
  </si>
  <si>
    <t xml:space="preserve">137, 169, 170, 171, 207, 208</t>
  </si>
  <si>
    <t xml:space="preserve">5.03,1.04</t>
  </si>
  <si>
    <t xml:space="preserve">SOC・セキュリティ担当</t>
  </si>
  <si>
    <t xml:space="preserve">I01,G12</t>
  </si>
  <si>
    <t xml:space="preserve">区間容量検査を満たすよう作業窓を調整（旧10/30～11/02）</t>
  </si>
  <si>
    <t xml:space="preserve">5.05</t>
  </si>
  <si>
    <t xml:space="preserve">紛失対応</t>
  </si>
  <si>
    <t xml:space="preserve">Disable・再有効化</t>
  </si>
  <si>
    <t xml:space="preserve">オンライン端末で無効化・再有効化を確認する。離線時と再接続後の挙動を区別し、反映時間を測る。リモート消去（管理コンソールからの初期化指示）が利用できるか、オンライン時／離線時の反映も確認する。</t>
  </si>
  <si>
    <t xml:space="preserve">各状態での利用可否が記録され、離線で即時制御できない範囲が明示される。</t>
  </si>
  <si>
    <t xml:space="preserve">無効化・再有効化試験</t>
  </si>
  <si>
    <t xml:space="preserve">1.08,5.03</t>
  </si>
  <si>
    <t xml:space="preserve">G13</t>
  </si>
  <si>
    <t xml:space="preserve">リモート消去（管理コンソールからの初期化指示）の可否・反映を追加（工数据置）</t>
  </si>
  <si>
    <t xml:space="preserve">5.06</t>
  </si>
  <si>
    <t xml:space="preserve">復旧・再配布</t>
  </si>
  <si>
    <t xml:space="preserve">初期化・再登録・換機相当の業務復帰</t>
  </si>
  <si>
    <t xml:space="preserve">証跡・必要データを退避し初期化後に再登録する。承認ポリシー、配布拡張、同期が許可された設定、クラウドデータ／VDIの再アクセスを確認し所要時間を記録する。原票のゴールデンイメージ・予備ハードウェアに相当する要素（設定のクラウド管理、再登録による復元、予備機の保管・貸出）も確認する。</t>
  </si>
  <si>
    <t xml:space="preserve">承認済み業務復帰目標を満たす。1分を既定基準とせず、端末再構築とクラウド原データ復元を分ける。F3・F8の根拠を兼ねる。</t>
  </si>
  <si>
    <t xml:space="preserve">初期化・再登録・復旧記録</t>
  </si>
  <si>
    <t xml:space="preserve">3, 8、ほか横断・補足（個別対応は対応表）</t>
  </si>
  <si>
    <t xml:space="preserve">5.01,5.05</t>
  </si>
  <si>
    <t xml:space="preserve">G09,G13,G17</t>
  </si>
  <si>
    <t xml:space="preserve">F3（ゴールデンイメージ）・F8（予備ハードウェア）の主対応に変更</t>
  </si>
  <si>
    <t xml:space="preserve">5.07a</t>
  </si>
  <si>
    <t xml:space="preserve">インシデント対応</t>
  </si>
  <si>
    <t xml:space="preserve">既存インシデント対応手順・演習記録の回収（37項目）</t>
  </si>
  <si>
    <t xml:space="preserve">既存のインシデント対応計画・連絡体制・演習記録を責任者から早期に回収し、37項目の原件を確認する。回収した範囲から評価項目対応表へ反映し、不足は5.07bで確認するChromebook固有手順と併せて整理する。全社演習は新設しない。</t>
  </si>
  <si>
    <t xml:space="preserve">37項目に既存手順の根拠と責任者があり、不足が一覧化されている。</t>
  </si>
  <si>
    <t xml:space="preserve">既存IR手順・演習記録一覧・不足一覧</t>
  </si>
  <si>
    <t xml:space="preserve">既存手順の確認</t>
  </si>
  <si>
    <t xml:space="preserve">180, 181, 182, 183, 184, 185, 186, 187, 189, 190, 191, 192, 193, 194, 195, 197, 198, 200, 201, 204, 205, 206, 209, 212, 213, 214, 215, 216, 217, 218, 219, 220, 221, 222, 225, 226, 228</t>
  </si>
  <si>
    <t xml:space="preserve">SOC・セキュリティ・業務担当</t>
  </si>
  <si>
    <t xml:space="preserve">旧5.07（37項目）の既存手順回収を前倒し（10/9開始）</t>
  </si>
  <si>
    <t xml:space="preserve">5.07b</t>
  </si>
  <si>
    <t xml:space="preserve">Chromebook固有のIR手順適用確認</t>
  </si>
  <si>
    <t xml:space="preserve">2.07・5.05・5.06の結果を用い、連絡先・端末無効化・アカウント停止／セッション処置・消去前の証跡保全・復旧判断のChromebook固有の変更点と担当を、既存手順への追記事項として確認する。Disable／初期化だけで全体の対応能力を満たすとしない。</t>
  </si>
  <si>
    <t xml:space="preserve">Chromebook特有の変更点と担当が明確である。</t>
  </si>
  <si>
    <t xml:space="preserve">適用確認メモ・不足一覧（Chromebook固有）</t>
  </si>
  <si>
    <t xml:space="preserve">副：180, 183, 186, 197, 212, 213, 216, 217, 218, 219, 228</t>
  </si>
  <si>
    <t xml:space="preserve">2.07,5.04,5.06,5.07a</t>
  </si>
  <si>
    <t xml:space="preserve">I01,G13</t>
  </si>
  <si>
    <t xml:space="preserve">Chromebook固有の変更点確認を後半に分離（0.10人日）</t>
  </si>
  <si>
    <t xml:space="preserve">5.08</t>
  </si>
  <si>
    <t xml:space="preserve">運用・教育</t>
  </si>
  <si>
    <t xml:space="preserve">既存制度の証跡確認</t>
  </si>
  <si>
    <t xml:space="preserve">教育、アプリ承認、棚卸し、委託先、事故報告等は既存規程・実績の該当箇所を引用する。PoC用に同じ文書を作り直さず、不足部分だけ責任者と確認する。</t>
  </si>
  <si>
    <t xml:space="preserve">各対象項目に有効な証跡と責任者がある。新規作成が必要な部分は課題化する。</t>
  </si>
  <si>
    <t xml:space="preserve">運用規程・実施記録・不足一覧</t>
  </si>
  <si>
    <t xml:space="preserve">運用確認</t>
  </si>
  <si>
    <t xml:space="preserve">116, 117, 135, 90, 93, 111, 112, 11, 12, 14, 15, 16, 17, 18, 19, 20, 21, 175, 13, 230, 231, 211, 210</t>
  </si>
  <si>
    <t xml:space="preserve">各運用責任者・人事・法務</t>
  </si>
  <si>
    <t xml:space="preserve">区間容量検査を満たすよう作業窓を調整（旧10/09～11/04）</t>
  </si>
  <si>
    <t xml:space="preserve">6.01</t>
  </si>
  <si>
    <t xml:space="preserve">6. 一次評価・是正・承認</t>
  </si>
  <si>
    <t xml:space="preserve">評価取りまとめ</t>
  </si>
  <si>
    <t xml:space="preserve">O～X記入・証跡連携</t>
  </si>
  <si>
    <t xml:space="preserve">試験完了ごとにO～X転記用シートのR～U列を記入する。O・P・V～Xは評価項目対応から自動表示され、Qは原票の公式を維持する。完了後に原票O～Xへ値貼り付けする（O～PとR～Xの2回に分ける）。Tに証跡名、Uに制約・代替策・未検証を記載する。</t>
  </si>
  <si>
    <t xml:space="preserve">対象全行に説明があり、元の成熟度値を今回の実績として流用していない。転記用シートのチェック列が全行OKである。</t>
  </si>
  <si>
    <t xml:space="preserve">一次評価記入案（O～X転記用シート）</t>
  </si>
  <si>
    <t xml:space="preserve">資料作成</t>
  </si>
  <si>
    <t xml:space="preserve">1.02,1.03</t>
  </si>
  <si>
    <t xml:space="preserve">各回答者</t>
  </si>
  <si>
    <t xml:space="preserve">O～X転記用シートの利用を前提に1.50→1.25人日。実績が合わなければ戻す</t>
  </si>
  <si>
    <t xml:space="preserve">6.03</t>
  </si>
  <si>
    <t xml:space="preserve">是正</t>
  </si>
  <si>
    <t xml:space="preserve">課題整理・代替策・リスク判断</t>
  </si>
  <si>
    <t xml:space="preserve">NG、未検証、機能不足、対象外理由未承認を整理する。対応担当、期限、追加契約、導入条件を設定する。</t>
  </si>
  <si>
    <t xml:space="preserve">導入前必須対応と導入後対応が分離され、残余リスクの判断者がいる。</t>
  </si>
  <si>
    <t xml:space="preserve">課題・リスク・是正計画</t>
  </si>
  <si>
    <t xml:space="preserve">レビュー</t>
  </si>
  <si>
    <t xml:space="preserve">6.01,5.07b,5.08</t>
  </si>
  <si>
    <t xml:space="preserve">セキュリティ・業務責任者</t>
  </si>
  <si>
    <t xml:space="preserve">旧6.02の廃止に伴い依存を6.01・5.07b・5.08へ変更</t>
  </si>
  <si>
    <t xml:space="preserve">6.04</t>
  </si>
  <si>
    <t xml:space="preserve">必要時の是正・再試験</t>
  </si>
  <si>
    <t xml:space="preserve">PoCで見つかった設定不備を修正し、影響範囲のみ再試験する。追加契約・新規基盤構築・重大課題は別計画とし、未解決の場合は提出・導入判断の日程を見直す。</t>
  </si>
  <si>
    <t xml:space="preserve">是正済み項目に再試験証跡があり、未解決項目に判断が付いている。</t>
  </si>
  <si>
    <t xml:space="preserve">再試験記録・更新課題台帳</t>
  </si>
  <si>
    <t xml:space="preserve">必要時のみ実機</t>
  </si>
  <si>
    <t xml:space="preserve">関係システム担当</t>
  </si>
  <si>
    <t xml:space="preserve">条件付き実施</t>
  </si>
  <si>
    <t xml:space="preserve">区間容量検査を満たすよう作業窓を調整（旧11/05～11/06）</t>
  </si>
  <si>
    <t xml:space="preserve">6.05</t>
  </si>
  <si>
    <t xml:space="preserve">報告</t>
  </si>
  <si>
    <t xml:space="preserve">導入評価・本番構成案</t>
  </si>
  <si>
    <t xml:space="preserve">適合状況、未達、ライセンス、運用工数、業務影響をまとめる。大規模展開方式（手動登録／ゼロタッチ／販売店での事前設定）と初期ロットの受入手順を含め、可／条件付き可／不可の判断案を作成する。</t>
  </si>
  <si>
    <t xml:space="preserve">判断案が各評価項目と証跡に追跡できる。</t>
  </si>
  <si>
    <t xml:space="preserve">評価報告・本番構成案</t>
  </si>
  <si>
    <t xml:space="preserve">6.03（6.04発生時は6.04）</t>
  </si>
  <si>
    <t xml:space="preserve">評価責任者</t>
  </si>
  <si>
    <t xml:space="preserve">大規模展開方式（手動／ゼロタッチ／販売店キッティング）と初期ロット受入を判断案に追加</t>
  </si>
  <si>
    <t xml:space="preserve">6.06</t>
  </si>
  <si>
    <t xml:space="preserve">承認</t>
  </si>
  <si>
    <t xml:space="preserve">内部レビュー・提出</t>
  </si>
  <si>
    <t xml:space="preserve">評価責任者が対象外、成熟度、証跡、残余リスクを確認する。転記用シートのチェック列（P・Q）が全行OKであること、原票側の既知不整合（N列エラー等）が記録されていることを最終確認し、レビュー指摘を反映して一次評価を提出する。</t>
  </si>
  <si>
    <t xml:space="preserve">担当部署・回答責任者・回答者を含む一次評価が承認・提出されている。</t>
  </si>
  <si>
    <t xml:space="preserve">承認済み一次評価・レビュー記録</t>
  </si>
  <si>
    <t xml:space="preserve">セキュリティ・承認者</t>
  </si>
  <si>
    <t xml:space="preserve">転記用シートのチェック列（P・Q）と原票側の既知不整合を最終確認項目に追加（旧6.02終検を統合）</t>
  </si>
  <si>
    <t xml:space="preserve">6.07</t>
  </si>
  <si>
    <t xml:space="preserve">終了処理</t>
  </si>
  <si>
    <t xml:space="preserve">試験環境・本番移行引継ぎ</t>
  </si>
  <si>
    <t xml:space="preserve">テストアカウント・OAuth許可・ダミーデータを整理する。ライセンス期限、本番移行、必要時の登録解除を計画し、運用へ引き継ぐ。</t>
  </si>
  <si>
    <t xml:space="preserve">証跡を保持し、試験用権限・契約が放置されず、移行担当が明確である。</t>
  </si>
  <si>
    <t xml:space="preserve">終了確認・引継ぎ資料</t>
  </si>
  <si>
    <t xml:space="preserve">端末・契約・運用担当</t>
  </si>
  <si>
    <t xml:space="preserve">評価項目と作業の対応（231項目）</t>
  </si>
  <si>
    <t xml:space="preserve">全行は評価作業の割当案。原票O～Xへの転記前に適用性と根拠を確認し、必要な関連WBSも参照する。v3で主対応WBSを4.04a～d・5.07a・5.06へ再配分し、関連WBS（副）と担当部署／回答責任者／回答者（原票V～X）の列を追加した。黄色セルが入力欄。</t>
  </si>
  <si>
    <t xml:space="preserve">原票行</t>
  </si>
  <si>
    <t xml:space="preserve">枝番号</t>
  </si>
  <si>
    <t xml:space="preserve">CPG ID</t>
  </si>
  <si>
    <t xml:space="preserve">原票チェック観点</t>
  </si>
  <si>
    <t xml:space="preserve">原票チェック内容</t>
  </si>
  <si>
    <t xml:space="preserve">主対応WBS</t>
  </si>
  <si>
    <t xml:space="preserve">評価方法（案）</t>
  </si>
  <si>
    <t xml:space="preserve">Chromebookでの確認方針（案）</t>
  </si>
  <si>
    <t xml:space="preserve">適用性（確認用）</t>
  </si>
  <si>
    <t xml:space="preserve">担当部署（原票V列）</t>
  </si>
  <si>
    <t xml:space="preserve">証跡・試験ID</t>
  </si>
  <si>
    <t xml:space="preserve">判断理由・未解決事項</t>
  </si>
  <si>
    <t xml:space="preserve">関連WBS（副）</t>
  </si>
  <si>
    <t xml:space="preserve">回答責任者（原票W列）</t>
  </si>
  <si>
    <t xml:space="preserve">回答者（原票X列）</t>
  </si>
  <si>
    <t xml:space="preserve">担当役割（候補・主対応WBSの協力先）</t>
  </si>
  <si>
    <t xml:space="preserve">1.A</t>
  </si>
  <si>
    <t xml:space="preserve">資産管理と構成管理</t>
  </si>
  <si>
    <t xml:space="preserve">組織が包括的な資産管理アプローチを持っていることを確認する。</t>
  </si>
  <si>
    <t xml:space="preserve">端末登録に加え、アプリ・データ・重要業務・依存関係・台帳保護を確認する。</t>
  </si>
  <si>
    <t xml:space="preserve">未確定</t>
  </si>
  <si>
    <t xml:space="preserve">組織のITアセット、論理的（データ、ソフトウェアなど）および物理的（
ハードウェアなど）の在庫を把握する。</t>
  </si>
  <si>
    <t xml:space="preserve">健康と安全、収益創出、またはその他の重要なサービスにとって最も重要
なデータまたはシステムを把握し、関連する相互依存関係を理解する。</t>
  </si>
  <si>
    <t xml:space="preserve">重要業務・データ・接続先の依存関係と復旧優先順位を整理する。企業登録のみでは本項目を満たさない。</t>
  </si>
  <si>
    <t xml:space="preserve">セキュリティ制御または保護措置をクリティカルアセットに適用する。</t>
  </si>
  <si>
    <t xml:space="preserve">1.E</t>
  </si>
  <si>
    <t xml:space="preserve">データセンター管理</t>
  </si>
  <si>
    <t xml:space="preserve">データセンターが定期的にパッチが適用されていることを確認する。重大
な脆弱性のパッチは、できるだけ早く適用する。</t>
  </si>
  <si>
    <t xml:space="preserve">既存証跡・境界確認</t>
  </si>
  <si>
    <t xml:space="preserve">原票の「データセンター」表記は原文のDC（Domain Controller）の訳。ADドメインコントローラーの設定・パッチ・監視の既存証跡を担当者から受領する。ChromeOS利用だけで対象外にしない。</t>
  </si>
  <si>
    <t xml:space="preserve">IaCの利用と管理</t>
  </si>
  <si>
    <t xml:space="preserve">IaCテンプレートを展開する前に、静的セキュリティスキャンツールでテ
ストする。</t>
  </si>
  <si>
    <t xml:space="preserve">構成依存の確認</t>
  </si>
  <si>
    <t xml:space="preserve">IaC利用の有無を関連クラウドも含めて確認する。未使用なら範囲と理由を記載する。</t>
  </si>
  <si>
    <t xml:space="preserve">静的セキュリティスキャンツールで設定ミスとセキュリティギャップを特
定する。</t>
  </si>
  <si>
    <t xml:space="preserve">インフラストラクチャをコード（IaC）を使用してクラウドリソースを展
開および更新する。</t>
  </si>
  <si>
    <t xml:space="preserve">IaCのテンプレートファイルのバックアップをオフラインで保管する。</t>
  </si>
  <si>
    <t xml:space="preserve">ヒューマンエラーの削減のためのIaCコードはバージョン管理する。</t>
  </si>
  <si>
    <t xml:space="preserve">IaCのテンプレートへの変更を監査する。</t>
  </si>
  <si>
    <t xml:space="preserve">構成ドリフトのチェッ
ク</t>
  </si>
  <si>
    <t xml:space="preserve">テンプレート展開の外で変更または導入されたリソースを特定するために
、構成ドリフト（期待された状態からの乖離）を定期的にチェックする。</t>
  </si>
  <si>
    <t xml:space="preserve">Google管理ポリシーの承認基線と実効値、変更履歴、差分検出・復元を確認する。</t>
  </si>
  <si>
    <t xml:space="preserve">構成ドリフト（期待された状態からの乖離）チェックにより、新しいセキ
ュリティギャップと設定ミスが導入される可能性を減らす。</t>
  </si>
  <si>
    <t xml:space="preserve">脆弱性管理</t>
  </si>
  <si>
    <t xml:space="preserve">攻撃対象領域を制限するため、定期的な脆弱性スキャンを実施する。</t>
  </si>
  <si>
    <t xml:space="preserve">ChromeOSと接続先・ネットワーク製品を分けて脆弱性・更新運用を確認する。</t>
  </si>
  <si>
    <t xml:space="preserve">特にインターネットに接続されたデバイス上の脆弱性を特定して対処する
。</t>
  </si>
  <si>
    <t xml:space="preserve">インターネットデータ、Webブラウザ、ブラウザプラグイン、ドキュメン
トリーダーなどを処理するソフトウェアを実行するインターネット向けサ
ーバーへのパッチ適用を優先する。</t>
  </si>
  <si>
    <t xml:space="preserve">特に既知の悪用された脆弱性を持つサーバーへのパッチ適用を優先する。</t>
  </si>
  <si>
    <t xml:space="preserve">1.F</t>
  </si>
  <si>
    <t xml:space="preserve">データセンター のセキュリティを検証するために、BloodHound や PingC
astle などのオープンソースの侵入テストツールを使用する。</t>
  </si>
  <si>
    <t xml:space="preserve">1.G</t>
  </si>
  <si>
    <t xml:space="preserve">サードパーティ管理</t>
  </si>
  <si>
    <t xml:space="preserve">組織がミッションを達成するために依存しているサードパーティまたはマ
ネージドサービスプロバイダー（MSP）のリスク管理とサイバーセキュリ
ティ対策を検討する。
（MSPは、多数のクライアント組織に影響を与えるランサムウェアの感染
ベクトルとなっている。）</t>
  </si>
  <si>
    <t xml:space="preserve">運用証跡確認</t>
  </si>
  <si>
    <t xml:space="preserve">Google・販売店・運用委託先の責任分界、報告、最小権限と契約・管理手順を確認する。</t>
  </si>
  <si>
    <t xml:space="preserve">1.H</t>
  </si>
  <si>
    <t xml:space="preserve">アカウント管理</t>
  </si>
  <si>
    <t xml:space="preserve">非アクティブまたは不正なアカウントについて、四半期ごとにユーザーお
よび管理者アカウントを監査する。</t>
  </si>
  <si>
    <t xml:space="preserve">ユーザー・管理者の作成、停止、不要アカウント整理、定期棚卸しを確認する。</t>
  </si>
  <si>
    <t xml:space="preserve">2.B</t>
  </si>
  <si>
    <t xml:space="preserve">デフォルトの管理者ユーザー名とパスワードを変更する。</t>
  </si>
  <si>
    <t xml:space="preserve">認証情報保護、保存制限、認証失敗監視を原要求と比較する。非対応機能は代替策と差分を記録する。</t>
  </si>
  <si>
    <t xml:space="preserve">2.C</t>
  </si>
  <si>
    <t xml:space="preserve">侵害された資格情報についてダークウェブを監視する資格情報監視サービ
スへの加入を検討する。</t>
  </si>
  <si>
    <t xml:space="preserve">パスワード管理</t>
  </si>
  <si>
    <t xml:space="preserve">少なくとも15文字のユニークなパスワードを要求するパスワードポリシー
を実装する。</t>
  </si>
  <si>
    <t xml:space="preserve">安全なパスワードの作成と管理にパスワード管理ツールを使用する。</t>
  </si>
  <si>
    <t xml:space="preserve">グループポリシー管理コンソールでブラウザへのパスワードの保存を無効
にする。</t>
  </si>
  <si>
    <t xml:space="preserve">2.E</t>
  </si>
  <si>
    <t xml:space="preserve">AD管理</t>
  </si>
  <si>
    <t xml:space="preserve">Active Directory（AD）で過剰な権限を持つアカウントとグループメンバ
ーシップを監査する。</t>
  </si>
  <si>
    <t xml:space="preserve">Windows固有の要件（PowerShell、LSASS、資格情報保護等）。ChromeOS端末は非該当だが、接続先のAD／Windows環境に適用し得るため既存証跡を確認する。対象外にする場合は理由と承認者を記録する。</t>
  </si>
  <si>
    <t xml:space="preserve">Windowsドメインで、ハッシュ攻撃に対する特権ユーザーアカウントのさ
らなる保護のためにProtected Users ADグループを使用する。</t>
  </si>
  <si>
    <t xml:space="preserve">データセンター へのアクセスを管理者グループに制限する。</t>
  </si>
  <si>
    <t xml:space="preserve">データセンター へのアクセスを管理者グループ内のユーザーは制限し、
非管理者権限で日常業務に使用する別のアカウントを持つ。</t>
  </si>
  <si>
    <t xml:space="preserve">指定された管理者アカウントは、管理目的でのみ使用する。</t>
  </si>
  <si>
    <t xml:space="preserve">特権アクセスを管理および監視するために、データセンターに特権アクセ
ス管理（PAM）ソリューションを実装する。</t>
  </si>
  <si>
    <t xml:space="preserve">PowerShellの管理</t>
  </si>
  <si>
    <t xml:space="preserve">グループポリシーを使用して、PowerShellの使用を個別に事例ごとに特定
のユーザーに制限する。
（通常、PowerShellの使用が許可されているのは、ネットワークまたはWi
ndows OSを管理するユーザーまたは管理者のみ。）</t>
  </si>
  <si>
    <t xml:space="preserve">オンプレミスおよびクラウドアプリケーションの個々のネットワークエン
ティティの役割とアクセス権限を監視および管理するためのツールとテク
ノロジーを管理者に提供するために、IDおよびアクセス管理（IAM）シス
テムを実装する。</t>
  </si>
  <si>
    <t xml:space="preserve">管理者ロールと一般権限を分離し、操作範囲・必要性・委託権限を確認する。</t>
  </si>
  <si>
    <t xml:space="preserve">タスクを実行するためのユーザー、グループ、およびロールを作成する。</t>
  </si>
  <si>
    <t xml:space="preserve">OSがWindows Server 2019およびWindows 10より古い場合は、可能であれ
ばLocal Administrator Password Solution（LAPS）を実装する。</t>
  </si>
  <si>
    <t xml:space="preserve">管理者アカウントとユーザーアカウントを分離する。</t>
  </si>
  <si>
    <t xml:space="preserve">不要なアカウントとグループを削除し、rootアクセスを制限する。</t>
  </si>
  <si>
    <t xml:space="preserve">サードパーティのアクセスを設定する際は、最小権限と職務分掌の使用を
確保する。サードパーティとMSPは、その役割または責任内にあるデバイ
スとサーバーにのみアクセスできるようにする。</t>
  </si>
  <si>
    <t xml:space="preserve">リモート環境管理</t>
  </si>
  <si>
    <t xml:space="preserve">リモート接続を確立する際は、資格情報の直接露出を避けるために、可能
な限りWindows PowerShell Remoting、Remote Credential Guard、または
RDPを使用する。</t>
  </si>
  <si>
    <t xml:space="preserve">VDI・RDP・リモート環境・RMM・公開サービスの既存証跡を受領する。端末側のリモートアクセス系ツール（拡張・Android・Chrome Remote Desktop）の制御は3.03／3.04で確認する。</t>
  </si>
  <si>
    <t xml:space="preserve">ローカル管理者管理</t>
  </si>
  <si>
    <t xml:space="preserve">ローカル管理を制御および制限する。</t>
  </si>
  <si>
    <t xml:space="preserve">攻撃面最小化</t>
  </si>
  <si>
    <t xml:space="preserve">LSASSに対するAttack Surface Reduction（ASR）ルールを実装する。</t>
  </si>
  <si>
    <t xml:space="preserve">最小権限</t>
  </si>
  <si>
    <t xml:space="preserve">ユーザーが職務を遂行するために必要なアクセスのみを持つように、すべ
てのシステムとサービスに最小権限の原則を適用する。</t>
  </si>
  <si>
    <t xml:space="preserve">資格情報保護</t>
  </si>
  <si>
    <t xml:space="preserve">Windows 10およびServer 2016の場合はCredential Guardを、Windows Ser
ver 2012R2の場合はLocal Security Authority（LSA）用のProtected Pro
cess Light（PPL）を有効にする。</t>
  </si>
  <si>
    <t xml:space="preserve">特権アカウント管理</t>
  </si>
  <si>
    <t xml:space="preserve">日常業務にルートアクセスアカウントを使用しない。</t>
  </si>
  <si>
    <t xml:space="preserve">2.F</t>
  </si>
  <si>
    <t xml:space="preserve">LSASS保護</t>
  </si>
  <si>
    <t xml:space="preserve">システムから資格情報を取得できるコードインジェクションを防ぐために
、LSA認証の追加保護を有効にする。
（これらの保護を有効にする前に、lsass.exeに対して監査を実行し、こ
の保護の有効化によって影響を受けるプログラムを確実に理解するように
する。）</t>
  </si>
  <si>
    <t xml:space="preserve">強力なアクセスポリシーを作成して、ユーザーからリソースへのアクセス
とリソース間のアクセスを制限することにより、ゼロトラストアクセス制
御を実装する。これは、クラウド内の主要な管理リソースにとって重要で
ある。</t>
  </si>
  <si>
    <t xml:space="preserve">構成・契約依存の確認</t>
  </si>
  <si>
    <t xml:space="preserve">アクセス制御の目的を評価する。SCP・鍵管理等は利用クラウドを特定し、Google設定と同一機能とみなさない。</t>
  </si>
  <si>
    <t xml:space="preserve">アクセス制御</t>
  </si>
  <si>
    <t xml:space="preserve">ゼロトラストアーキテクチャの中でアクセス制御の実施をできるだけ細か
く行う。</t>
  </si>
  <si>
    <t xml:space="preserve">クラウドの運用管理</t>
  </si>
  <si>
    <t xml:space="preserve">組織全体のユーザーまたはロールが特定のサービスにアクセスしたり、サ
ービス内で特定のアクションを実行したりできないようにするために、ク
ラウドベースのリソース用のサービス制御ポリシー（SCP）の作成を検討
する。</t>
  </si>
  <si>
    <t xml:space="preserve">クラウドベースのリソースへのアクセスまたは変更に関するユーザー/ロ
ール権限を制限する。</t>
  </si>
  <si>
    <t xml:space="preserve">クラウド環境（Microsoft Office 365など）に関連するベストプラクティ
スを活用し、セキュリティ設定を有効にする。</t>
  </si>
  <si>
    <t xml:space="preserve">クラウドの共有責任モデルをレビューし、資産保護に関して何が顧客の責
任であるかを確実に理解する。</t>
  </si>
  <si>
    <t xml:space="preserve">ゼロトラストの実装</t>
  </si>
  <si>
    <t xml:space="preserve">データとサービスへの不正アクセスを防止するためにゼロトラストアーキ
テクチャを実装する。</t>
  </si>
  <si>
    <t xml:space="preserve">ゼロトラストアーキテクチャを実装し、組織内のさまざまなビジネスユニ
ットや部門のITリソースを分離することにより、論理的または物理的なネ
ットワークセグメンテーションを採用する。</t>
  </si>
  <si>
    <t xml:space="preserve">鍵管理</t>
  </si>
  <si>
    <t xml:space="preserve">特定のユーザー/ロールによるカスタマーマネージドキーに対して実行で
きるアクションを制限する。</t>
  </si>
  <si>
    <t xml:space="preserve">2.G</t>
  </si>
  <si>
    <t xml:space="preserve">VPN管理</t>
  </si>
  <si>
    <t xml:space="preserve">VPNを最新のソフトウェアパッチとセキュリティ設定で更新する。</t>
  </si>
  <si>
    <t xml:space="preserve">一定回数のログイン失敗後にアカウントをロックアウトするポリシーを実
施する。</t>
  </si>
  <si>
    <t xml:space="preserve">認証情報保護、保存制限、認証失敗監視を原要求と比較する。非対応機能は代替策と差分を記録する。 端末側のログ・上報（Chromeイベント、システムログ、端末上の失敗ログイン）の確認（5.03）も根拠にする。</t>
  </si>
  <si>
    <t xml:space="preserve">ブルートフォースパスワードクラッキングとパスワードスプレーのための
ログイン試行をログに記録し監視する。</t>
  </si>
  <si>
    <t xml:space="preserve">ネットワーク管理</t>
  </si>
  <si>
    <t xml:space="preserve">ネットワークインフラデバイスを最新のソフトウェアパッチとセキュリテ
ィ設定で更新する。</t>
  </si>
  <si>
    <t xml:space="preserve">リモートワーク環境へのアクセスに使用されるデバイスを最新のソフトウ
ェアパッチとセキュリティ設定で更新する。</t>
  </si>
  <si>
    <t xml:space="preserve">認証管理</t>
  </si>
  <si>
    <t xml:space="preserve">可能であれば、NTLM と WDigest 認証を無効にするか制限することを検討
する。
（レガシーシステムのアップグレードやネットワークのセグメンテーショ
ンの優先順位付けの基準としてそれらの使用を含める）</t>
  </si>
  <si>
    <t xml:space="preserve">接続先のSMB・NTLM・暗号化設定は既存証跡を受領する。ChromeOS側のSMBクライアント制御（共有マウント可否・NTLM・NetBIOS探索）は4.09で確認する。 本項目はChromebook側のSMB／NTLM／NetBIOS試験（4.09）も根拠にする。</t>
  </si>
  <si>
    <t xml:space="preserve">NTLM を有効にする必要がある場合は、一部の NTLM リレー攻撃を防ぐた
めに認証の拡張保護（EPA）を有効にする。</t>
  </si>
  <si>
    <t xml:space="preserve">接続先のSMB・NTLM・暗号化設定は既存証跡を受領する。ChromeOS側のSMBクライアント制御（共有マウント可否・NTLM・NetBIOS探索）は4.09で確認する。</t>
  </si>
  <si>
    <t xml:space="preserve">ネットワーク全体で NTLMv2 応答のみが送信されるようにするために、NT
LM 監査を有効にする。</t>
  </si>
  <si>
    <t xml:space="preserve">可能であれば、LM および NTLM 応答が拒否されるように対策を講じる。</t>
  </si>
  <si>
    <t xml:space="preserve">2.H</t>
  </si>
  <si>
    <t xml:space="preserve">MFAの適用</t>
  </si>
  <si>
    <t xml:space="preserve">すべてのサービスにフィッシング耐性のある多要素認証を実装する。</t>
  </si>
  <si>
    <t xml:space="preserve">第2要素の有無だけでなく採用方式のフィッシング耐性を確認する。端末のPIN解除とオンラインMFAを区別する。 管理者のセキュリティキー必須化・管理コンソール保護（2.06）も根拠にする。</t>
  </si>
  <si>
    <t xml:space="preserve">多要素認証を許可しないシステム、多要素認証を強制しないシステム、多
要素認証に登録されていないユーザーを発見した場合、上級管理職にエス
カレーションする。</t>
  </si>
  <si>
    <t xml:space="preserve">オンライン認証、抗フィッシング方式、未登録・例外の管理、復旧経路を確認する。 管理者のセキュリティキー必須化・管理コンソール保護（2.06）も根拠にする。</t>
  </si>
  <si>
    <t xml:space="preserve">パスワードを2つ以上の検証要素（指紋、顔認識、デバイスのPIN、暗号鍵
など）に置き換えるパスワードレス多要素認証の採用を検討する。</t>
  </si>
  <si>
    <t xml:space="preserve">RDPの管理</t>
  </si>
  <si>
    <t xml:space="preserve">RDPやその他のリモートデスクトップサービスの使用を制限する。</t>
  </si>
  <si>
    <t xml:space="preserve">VDI・RDP・リモート環境・RMM・公開サービスの既存証跡を受領する。端末側のリモートアクセス系ツール（拡張・Android・Chrome Remote Desktop）の制御は3.03／3.04で確認する。 端末側のリモートアクセス系ツール（拡張・PWA・Androidアプリ・Chrome Remote Desktop）の制御（3.03／3.04）も根拠にする。</t>
  </si>
  <si>
    <t xml:space="preserve">3.03, 3.04</t>
  </si>
  <si>
    <t xml:space="preserve">RDPが必要な場合は、ベストプラクティスを適用する。</t>
  </si>
  <si>
    <t xml:space="preserve">ネットワーク上でRDPを使用しているシステムを監査する。</t>
  </si>
  <si>
    <t xml:space="preserve">使用されていないRDPポートを閉じる。</t>
  </si>
  <si>
    <t xml:space="preserve">指定回数のログイン試行後にアカウントロックアウトを強制する。</t>
  </si>
  <si>
    <t xml:space="preserve">RDPに多要素認証（MFA）を適用する。</t>
  </si>
  <si>
    <t xml:space="preserve">RDPログイン試行をログに記録する。</t>
  </si>
  <si>
    <t xml:space="preserve">SMB管理</t>
  </si>
  <si>
    <t xml:space="preserve">Server Message Block（SMB）プロトコルバージョン1を無効にする。</t>
  </si>
  <si>
    <t xml:space="preserve">既存の依存関係（既存のシステムやアプリケーション）を緩和した後、SM
Bをバージョン3（SMBv3）にアップグレードする。</t>
  </si>
  <si>
    <t xml:space="preserve">悪意のある攻撃者がSMBを使用して組織全体にマルウェアを拡散させるた
め、以下のガイダンスを実装してSMBv3を強化する。</t>
  </si>
  <si>
    <t xml:space="preserve">SMBv3.1.1の使用を義務付ける。（このバージョンには、事前認証の整合
性、拡張AES暗号化、署名暗号化など、セキュリティ保護が強化されてい
る）</t>
  </si>
  <si>
    <t xml:space="preserve">不要なSMB通信をブロックする。</t>
  </si>
  <si>
    <t xml:space="preserve">組織ネットワークとの間のSMBの外部アクセスを、インターネットのペリ
メータファイアウォールでインバウンドとアウトバウンドのTCPポート445
をブロックすることでブロックする。</t>
  </si>
  <si>
    <t xml:space="preserve">TCPポート137、138、139をブロックする。</t>
  </si>
  <si>
    <t xml:space="preserve">可能な限りSMBv3に更新する。
（SMBv2以降ではNetBIOSデータグラムを使用しないため、SMBv2の使用を
継続しても大きなリスクはなく、必要に応じて使用できる。）</t>
  </si>
  <si>
    <t xml:space="preserve">内部SMB通信をブロックまたは制限して、通信が必要なシステム間でのみ
行われるようにする。</t>
  </si>
  <si>
    <t xml:space="preserve">悪意のある攻撃者が組織のMicrosoft Active Directoryドメインのメンバ
ーでないシステムを検出してSMB経由の通信にアクセスするのを防ぐため
に、横方向のSMB通信にKerberosベースのIPセキュリティ（IPsec）を要求
するようにMicrosoft WindowsおよびWindows Serverシステムを構成する
。</t>
  </si>
  <si>
    <t xml:space="preserve">ファイルまたは名前付きパイプのアプリケーションプログラミングインタ
ーフェース（API）へのリモートアクセスが不要な場合は、Microsoft Win
dowsおよびWindows ServerデバイスでSMBサーバーサービス（「サーバー
」）を無効にする。</t>
  </si>
  <si>
    <t xml:space="preserve">Microsoft Windows 10、Windows Server 2016 以降の OS は、SYSVOL お
よび NETLOGON 共有を介した Microsoft Active Directory ドメインへの
接続に対して自動的に UNC をハードニングする。</t>
  </si>
  <si>
    <t xml:space="preserve">SMB over QUIC（Googl開発の高効率トランスポート層プロトコル）を使用
する。</t>
  </si>
  <si>
    <t xml:space="preserve">潜在的に異常で有害な動作のフラグを立てるのに役立つ SMB トラフィッ
クをログに記録して監視する。</t>
  </si>
  <si>
    <t xml:space="preserve">セキュリティを強化するために、すべてのVPN接続にMFAを実装する。</t>
  </si>
  <si>
    <t xml:space="preserve">会社・外部ネットワークの経路、VPN認証、DNS／FW制御と構成図の保管を確認する。</t>
  </si>
  <si>
    <t xml:space="preserve">MFAが実装されていない場合は、在宅勤務者に15文字以上のパスワードの
使用を義務付ける。</t>
  </si>
  <si>
    <t xml:space="preserve">暗号化管理</t>
  </si>
  <si>
    <t xml:space="preserve">SMB暗号化の要求を検討する。</t>
  </si>
  <si>
    <t xml:space="preserve">SMB3.1.1クライアントが常にSMB暗号化を使用することを保証するには、S
MB1.0サーバーを無効にする。
（詳細については、MicrosoftのSMB security enhancements | Enable SM
B Encryption and Reduced performance after SMB Encryption or SMB S
igning is enabledを参照）</t>
  </si>
  <si>
    <t xml:space="preserve">SMB暗号化が有効でない場合は、すべてのシステムでSMBクライアントとサ
ーバーの両方にSMB署名を要求する。</t>
  </si>
  <si>
    <t xml:space="preserve">SMB署名により特定の中間者攻撃やパスザハッシュ攻撃を防ぐ。</t>
  </si>
  <si>
    <t xml:space="preserve">2.I</t>
  </si>
  <si>
    <t xml:space="preserve">アンチマルウェアの運
用</t>
  </si>
  <si>
    <t xml:space="preserve">アンチウイルスとアンチマルウェアソフトウェアとシグネチャの自動更新
を使用する。</t>
  </si>
  <si>
    <t xml:space="preserve">仕様・代替策評価</t>
  </si>
  <si>
    <t xml:space="preserve">公式アーキテクチャ・既存対策により原要求との差分を説明する。実マルウェア試験は行わず、代替策は安全評価責任者の受容判断を得る。</t>
  </si>
  <si>
    <t xml:space="preserve">中央管理型のアンチウイルスソリューションの使用が推奨される。
（これにより、「前兆」マルウェアとランサムウェアの両方を検出できる
（EDR当の管理機能を持ったソリューション））</t>
  </si>
  <si>
    <t xml:space="preserve">セキュリティ教育</t>
  </si>
  <si>
    <t xml:space="preserve">パスワードの再利用やローカルファイルへのパスワードの保存を強調する
ことを含め、年次セキュリティトレーニングで適切なパスワードセキュリ
ティに関するすべての従業員の教育を行う。</t>
  </si>
  <si>
    <t xml:space="preserve">社内の教育・IR・報告・承認・定期改善の規程と実績を確認する。未整備は課題化し適用除外しない。</t>
  </si>
  <si>
    <t xml:space="preserve">フィッシングなどの不審なアクティビティを特定して報告する方法に関す
るガイダンスを含むサイバーセキュリティユーザー意識向上とトレーニン
グプログラムを実装する。</t>
  </si>
  <si>
    <t xml:space="preserve">ネットワークにアクセスできる担当者向けに、不正なWebサイトや検索結
果を認識できるようにするためのヒントを含む、高度なソーシャルエンジ
ニアリングに関するサイバーセキュリティ意識トレーニングポリシーを作
成する。</t>
  </si>
  <si>
    <t xml:space="preserve">スタッフに最新の情報を提供し、警戒心を持ち続けるために、セキュリテ
ィ意識トレーニングを定期的に繰り返す。</t>
  </si>
  <si>
    <t xml:space="preserve">2.K</t>
  </si>
  <si>
    <t xml:space="preserve">AES-256 ビット暗号化を使用した認証のための最新のフェデレーションプ
ロトコル（SAML、OIDC、Kerberos など）を使用する。</t>
  </si>
  <si>
    <t xml:space="preserve">構成・仕様確認</t>
  </si>
  <si>
    <t xml:space="preserve">実際に採用するIdP・SAML／OIDC等の認証方式を確認する。原票の暗号化表現は仕様と照合する。</t>
  </si>
  <si>
    <t xml:space="preserve">2.L</t>
  </si>
  <si>
    <t xml:space="preserve">パスワードを安全なデータベースに保存し、強力なハッシュアルゴリズム
を使用する。</t>
  </si>
  <si>
    <t xml:space="preserve">2.M</t>
  </si>
  <si>
    <t xml:space="preserve">DNSセキュリティ</t>
  </si>
  <si>
    <t xml:space="preserve">ソースで悪意のあるインターネットアクティビティをブロックすることに
より、Protective DNS（FW,AVを補完）サービスはリモートワーカーに高
いネットワークセキュリティを提供できる。</t>
  </si>
  <si>
    <t xml:space="preserve">メール管理</t>
  </si>
  <si>
    <t xml:space="preserve">電子メールクライアントで外部電子メールにフラグを付ける。</t>
  </si>
  <si>
    <t xml:space="preserve">メール対策は既存管理者の証跡を引用。Web版ExcelのVBA非実行は公式仕様で確認し、VDI側のOffice設定は責任者に確認する。</t>
  </si>
  <si>
    <t xml:space="preserve">既知の悪意のある件名や不審なIPアドレスなど、既知の悪意のある指標を
含む電子メールをフィルタリングするために、電子メールゲートウェイで
フィルターを実装する。</t>
  </si>
  <si>
    <t xml:space="preserve">一般的にマルウェアを含み、電子メールで送信すべきでないファイルタイ
プを制限するために、一般的な添付ファイルフィルターを有効にする。</t>
  </si>
  <si>
    <t xml:space="preserve">少なくとも半年に1回、フィルターリストのファイルタイプをレビューし
、攻撃のベクトルになったその他のファイルタイプを追加する。</t>
  </si>
  <si>
    <t xml:space="preserve">Domain-based Message Authentication Reporting and Conformance（DMA
RC）ポリシーと検証を実装し、有効なドメインからのなりすましメールや
改ざんメールの可能性を下げる。</t>
  </si>
  <si>
    <t xml:space="preserve">2.N</t>
  </si>
  <si>
    <t xml:space="preserve">スクリプト管理</t>
  </si>
  <si>
    <t xml:space="preserve">Windows Script Host（WSH）を無効にする。
（Windows Script Hostingは、ユーザーがスクリプトを実行したりタスク
を実行したりできる環境を提供する。）</t>
  </si>
  <si>
    <t xml:space="preserve">電子メールで送信されたMicrosoft Officeファイルのマクロスクリプトが
無効になっていることを確認する。
（これらのマクロはランサムウェアを配信するために使用される可能性が
ある。）</t>
  </si>
  <si>
    <t xml:space="preserve">ChromeOS上のWeb文書処理と、接続先WindowsでのOfficeマクロ実行を分けて評価する。</t>
  </si>
  <si>
    <t xml:space="preserve">2.O</t>
  </si>
  <si>
    <t xml:space="preserve">仮想化基盤管理</t>
  </si>
  <si>
    <t xml:space="preserve">すべてのハイパーバイザーと、ネットワークおよびストレージコンポーネ
ントを含む関連するITインフラストラクチャが更新およびハードニングさ
れていることを確認する。
（新たなランサムウェア戦略では、大規模にインフラストラクチャを迅速
に暗号化できるVMware ESXiサーバー、ハイパーバイザー、およびその他
の集中管理ツールとシステムを標的にし始めている。）</t>
  </si>
  <si>
    <t xml:space="preserve">仮想化基盤、アプリ制御、アンチマルウェア運用、ツール使用調査、認証ログの既存証跡を担当者から受領し、ChromeOSで変わる点のみ補足する。</t>
  </si>
  <si>
    <t xml:space="preserve">2.P</t>
  </si>
  <si>
    <t xml:space="preserve">組織のネットワーク内のシステムとデータフローを説明する包括的なネッ
トワーク図を作成し、定期的に更新する。
（これは定常状態で役立ち、インシデント対応者が取り組みの重点を置く
べき場所を理解するのに役立つ。）</t>
  </si>
  <si>
    <t xml:space="preserve">ネットワークドキュメンテーションを安全に保管し、オフラインバックア
ップとハードコピーを現地に保管する。</t>
  </si>
  <si>
    <t xml:space="preserve">ブラウザ設定</t>
  </si>
  <si>
    <t xml:space="preserve">ウェブサイトのタイプミス保護を有効にして、ブラウザを侵害する可能性
のあるなりすましウェブサイトやその他の潜在的に悪意のあるリンクにロ
グオンする可能性を制限する。</t>
  </si>
  <si>
    <t xml:space="preserve">原票の「Tracking prevention」「Website typo protection」はMicrosoft Edgeの機能名（typo protectionの企業ポリシーはTyposquattingCheckerEnabled）。Chrome／ChromeOSでの同等機能の有無を確認し、無い場合は「直接の同等機能なし＋代替策（Safe Browsingの強化モード、URL拒否リスト等）」として記録する。満たしたとは扱わない。</t>
  </si>
  <si>
    <t xml:space="preserve">悪用される可能性のあるユーザーデータの追跡を制限するために、ウェブ
サイト通知をデフォルトでブロックする。</t>
  </si>
  <si>
    <t xml:space="preserve">ブラウザの該当制御と対応範囲を確認し、未対応機能を同等扱いしない。</t>
  </si>
  <si>
    <t xml:space="preserve">資産管理</t>
  </si>
  <si>
    <t xml:space="preserve">ITアセットドキュメンテーションを安全に保管し、オフラインバックアッ
プと物理的なハードコピーを現地に保管する。</t>
  </si>
  <si>
    <t xml:space="preserve">2.Q</t>
  </si>
  <si>
    <t xml:space="preserve">データセンターを保護するには、組織でサポートされている最新バージョ
ンの Windows Server を使用する。
（Windows Server OS の新しいバージョンには、Active Directory 用の
セキュリティ機能など、より多くの統合セキュリティ機能がある。）</t>
  </si>
  <si>
    <t xml:space="preserve">データセンターへのソフトウェアまたはエージェントの最小限のインスト
ールを確保する。これらは、システム上で任意のコードを実行するために
利用される可能性がある。</t>
  </si>
  <si>
    <t xml:space="preserve">データセンター上で電子メールのチェック、Web 閲覧、その他のリスクの
高いアクティビティが行われないようにする。</t>
  </si>
  <si>
    <t xml:space="preserve">EDRの適用</t>
  </si>
  <si>
    <t xml:space="preserve">クラウドベースのリソースにEDRを実装することを検討する。</t>
  </si>
  <si>
    <t xml:space="preserve">Windows PowerShellまたはPowerShell Coreを最新バージョンに更新し、
すべての以前のPowerShellバージョンをアンインストールする。</t>
  </si>
  <si>
    <t xml:space="preserve">Webブラウザ制御</t>
  </si>
  <si>
    <t xml:space="preserve">Webブラウジングに起因するマルウェアからシステムを保護するために、
サンドボックス化されたブラウザの実装を検討する。</t>
  </si>
  <si>
    <t xml:space="preserve">仕様・実機確認</t>
  </si>
  <si>
    <t xml:space="preserve">サンドボックス等は公式設計根拠と実機の構成・データ分離結果を分けて記録する。</t>
  </si>
  <si>
    <t xml:space="preserve">サンドボックス化されたブラウザは、ホストマシンを悪意のあるコードか
ら分離する。</t>
  </si>
  <si>
    <t xml:space="preserve">アプリケーション制御</t>
  </si>
  <si>
    <t xml:space="preserve">すべての資産でアプリケーションホワイトリスティングとエンドポイント
検出および応答（EDR）ソリューションを使用して、許可されたソフトウ
ェアのみが実行可能であり、許可されていないすべてのソフトウェアがブ
ロックされるようにする。</t>
  </si>
  <si>
    <t xml:space="preserve">許可リスト・導入権限制限を確認する。Android／OAuthは3.04／3.05、EDR部分は3.09と併せて評価する。</t>
  </si>
  <si>
    <t xml:space="preserve">Windowsの場合、これらの機能をサポートするすべてのシステムでWindows
 Defenderアプリケーションチェック項目またはAppLocker、あるいはその
両方を有効にする。</t>
  </si>
  <si>
    <t xml:space="preserve">ネットワーク環境内のアプリケーションのあらゆる可能な順列をリストア
ップして拒否しようとするのではなく、許可リストを使用する。</t>
  </si>
  <si>
    <t xml:space="preserve">ソフトウェアアプリケーションのインストールと実行に関するユーザー権
限を制限する。</t>
  </si>
  <si>
    <t xml:space="preserve">一貫したベースラインを確保するためのリソースの監査を自動化または容
易にするために、クラウドプロバイダーのサービスを活用する。</t>
  </si>
  <si>
    <t xml:space="preserve">デバイス管理</t>
  </si>
  <si>
    <t xml:space="preserve">すべてのオンプレミスのデバイスが適切に構成され、セキュリティ機能が
有効になっていることを確認する。</t>
  </si>
  <si>
    <t xml:space="preserve">構成・実機確認</t>
  </si>
  <si>
    <t xml:space="preserve">端末・クラウド・モバイル・私物機器を分類し、管理基線と実効ポリシーを確認する。</t>
  </si>
  <si>
    <t xml:space="preserve">すべてのクラウドサービスのデバイスが適切に構成され、セキュリティ機
能が有効になっていることを確認する。</t>
  </si>
  <si>
    <t xml:space="preserve">すべてのモバイルのデバイスが適切に構成され、セキュリティ機能が有効
になっていることを確認する。</t>
  </si>
  <si>
    <t xml:space="preserve">すべての個人のデバイスが適切に構成され、セキュリティ機能が有効にな
っていることを確認する。</t>
  </si>
  <si>
    <t xml:space="preserve">広告ネットワークやトラッカーがユーザー情報を追跡するために使用でき
るベクトルを制限するために、追跡防止を有効にする。</t>
  </si>
  <si>
    <t xml:space="preserve">2.R</t>
  </si>
  <si>
    <t xml:space="preserve">immutableストレージは、特定の規制に対するコンプライアンス基準を満
たさず、設定ミスが大幅なコストを課す可能性があるため、注意して使用
する。</t>
  </si>
  <si>
    <t xml:space="preserve">既存のデータ保護・復元記録を責任者から受領して評価する。端末の初期化後の再アクセスはデータ復元試験の代わりとしない。</t>
  </si>
  <si>
    <t xml:space="preserve">ストレージ保護</t>
  </si>
  <si>
    <t xml:space="preserve">ランサムウェア攻撃で頻繁に標的にされるストレージリソース（オブジェ
クトストレージ、データベースストレージ、ファイルストレージ、ブロッ
クストレージなど）で、データが削除または上書きされるのを防ぐために
、削除保護またはオブジェクトロックを有効にする。</t>
  </si>
  <si>
    <t xml:space="preserve">既存のデータ保護・復元記録を責任者から受領して評価する。端末の初期化後の再アクセスはデータ復元試験の代わりとしない。 Driveの復元（5.02）とランサムウェア検知の適用範囲（1.04）も根拠にする。</t>
  </si>
  <si>
    <t xml:space="preserve">5.02, 1.04</t>
  </si>
  <si>
    <t xml:space="preserve">バージョン管理</t>
  </si>
  <si>
    <t xml:space="preserve">意図しない、または悪意のあるアクションからより簡単に復旧できるよう
に、ストレージ内の複数のオブジェクトバリアントを保持するために、バ
ージョン管理を有効にすることを検討する。</t>
  </si>
  <si>
    <t xml:space="preserve">重要なデータのオフラインでの暗号化されたバックアップを維持する。</t>
  </si>
  <si>
    <t xml:space="preserve">Drive同期・履歴と、オフラインの暗号化バックアップ要求を区別する。未達の場合は代替策と承認を記録する。 Driveの復元（5.02）とランサムウェア検知の適用範囲（1.04）も根拠にする。</t>
  </si>
  <si>
    <t xml:space="preserve">プライマリシステムの再構築が望ましくない場合に備えて、システムを再
構築するためのバックアップハードウェアを保持する。</t>
  </si>
  <si>
    <t xml:space="preserve">ChromeOSは設定がクラウド管理のため、初期化→再登録でポリシーが再配布される。再構築手順と所要時間（5.06）、予備機の保管・貸出、既存の保管資料（5.01）で確認する。</t>
  </si>
  <si>
    <t xml:space="preserve">同じベンダーのすべてのアカウントが影響を受けた場合に備えて、クラウ
ド間のバックアップにベンダーロックインを回避するためにマルチクラウ
ドソリューションの使用を検討する。</t>
  </si>
  <si>
    <t xml:space="preserve">データを頻繁にバックアップする。オフラインまたはクラウド間バックア
ップを活用する。</t>
  </si>
  <si>
    <t xml:space="preserve">バックアップ
ゴールデンイメージ</t>
  </si>
  <si>
    <t xml:space="preserve">重要なシステムの「ゴールデンイメージ」を維持し、定期的に更新する。
（これには、事前に設定されたオペレーティングシステム（OS）と関連す
るソフトウェアアプリケーションを備えたイメージ「テンプレート」を維
持することが含まれる。これにより、仮想マシンやサーバーなどのシステ
ムを迅速に再構築できる。）</t>
  </si>
  <si>
    <t xml:space="preserve">障害復旧</t>
  </si>
  <si>
    <t xml:space="preserve">障害復旧シナリオでバックアップの可用性と完全性を定期的にテストする
。</t>
  </si>
  <si>
    <t xml:space="preserve">既存証跡優先・必要時追加</t>
  </si>
  <si>
    <t xml:space="preserve">5.01の既存復元証跡を先に評価する。証跡不足または保護方式・保存先変更時のみデータ管理担当が追加復元試験を実施する。 Driveランサムウェア検知・復元の適用範囲（1.04）も確認する。</t>
  </si>
  <si>
    <t xml:space="preserve">2.S</t>
  </si>
  <si>
    <t xml:space="preserve">ランサムウェアとデータ流出インシデントの対応と通知手順を含む基本的
なサイバーインシデント対応計画と関連する通信計画を作成し維持する。</t>
  </si>
  <si>
    <t xml:space="preserve">インシデント対応計画と通信計画のハードコピーとオフラインバージョン
を用意する。</t>
  </si>
  <si>
    <t xml:space="preserve">インシデント対応計画と通信計画がCEOまたはそれに相当する者によって
書面でレビューおよび承認されていることを確認する。</t>
  </si>
  <si>
    <t xml:space="preserve">インシデント対応計画と通信計画が指令系統全体でレビューおよび理解さ
れていることを確認する。</t>
  </si>
  <si>
    <t xml:space="preserve">サイバーインシデント対応の体制を整える。</t>
  </si>
  <si>
    <t xml:space="preserve">サイバーインシデントのホールディングステートメント（状況がよく分か
らない中での取り敢えずのコメントや、お詫びのステートメント（文章）
を予め用意、細かい点まで説明する必要はない）を作成する。</t>
  </si>
  <si>
    <t xml:space="preserve">サイバーインシデント対応計画を策定するために、このガイドのランサム
ウェア対応チェックリストなどの利用可能なインシデント対応ガイダンス
を確認する。</t>
  </si>
  <si>
    <t xml:space="preserve">通信計画（本来の通信方式へ依存できない状態での手順、チャネル、ガイ
ドライン等）に、組織内およびパブリックとの情報共有のための組織的な
コミュニケーション手順を含める。</t>
  </si>
  <si>
    <t xml:space="preserve">通信計画に、サイバーインシデントホールディングステートメントのテン
プレートを含める。</t>
  </si>
  <si>
    <t xml:space="preserve">情報共有する詳細レベル、情報の流れ方について合意を得る。</t>
  </si>
  <si>
    <t xml:space="preserve">プロセス改善</t>
  </si>
  <si>
    <t xml:space="preserve">プロセスと手順が最新であり、セキュリティスタッフとエンドユーザーが
従うことができることを確認するために、定期的な評価を実施する。</t>
  </si>
  <si>
    <t xml:space="preserve">2.T</t>
  </si>
  <si>
    <t xml:space="preserve">API管理</t>
  </si>
  <si>
    <t xml:space="preserve">クラウドへのカスタムプログラムによるアクセスを使用する場合、サポー
トされている場合は、リクエスタの身元を確認し、転送中のデータを保護
し、リプレイ攻撃などの他の攻撃から保護するために、署名済みAPIリク
エストを使用する。</t>
  </si>
  <si>
    <t xml:space="preserve">カスタムAPIの利用、認証・通信保護、権限を確認する。署名付きリクエストとOAuthを同一扱いしない。</t>
  </si>
  <si>
    <t xml:space="preserve">C&amp;C調査</t>
  </si>
  <si>
    <t xml:space="preserve">Cobalt Strikeビーコン/クライアントの存在の兆候を確認する。</t>
  </si>
  <si>
    <t xml:space="preserve">既存手順・担当確認</t>
  </si>
  <si>
    <t xml:space="preserve">既存IR手順・演習記録の該当箇所とChromeOS／クラウドの役割を確認する。新規の全社演習は設けず、不足は責任者へ課題化する。</t>
  </si>
  <si>
    <t xml:space="preserve">最新バージョンを使用するPowerShellインスタンスで、モジュール、スク
リプトブロック、トランスクリプションロギングを有効にする（拡張ロギ
ング）。</t>
  </si>
  <si>
    <t xml:space="preserve">少なくとも13カ月の保持期間で、「PowerShell Windows Event」ログと「
PowerShell Operational」ログの2つのWindowsイベントログをオンにする
。</t>
  </si>
  <si>
    <t xml:space="preserve">PowerShell logsを1か月に1回チェックして、ログデータが削除されたか
どうか、またはロギングがオフになったかどうかを確認する。</t>
  </si>
  <si>
    <t xml:space="preserve">「PowerShell Windows Event」ログと「PowerShell Operational」ログ、
両方のログで許可されるストレージサイズをできるだけ大きく設定する。</t>
  </si>
  <si>
    <t xml:space="preserve">RMM管理</t>
  </si>
  <si>
    <t xml:space="preserve">ネットワーク上の承認済みリモートアクセスツール（RMM）を特定し、そ
の使用状況を監視・制御する。</t>
  </si>
  <si>
    <t xml:space="preserve">Windows Sysmonユーティリティを使用して、マルウェアファイルの作成を
監視およびブロックする。 （Sysmon 14以降では、FileBlockExecutable
オプションを使用して、特定のハッシュ値に一致する悪意のある実行可能
ファイル、ダイナミックリンクライブラリ（DLL）ファイル、およびシス
テムファイルの作成をブロックできる。）</t>
  </si>
  <si>
    <t xml:space="preserve">フォレンジック</t>
  </si>
  <si>
    <t xml:space="preserve">既存の組織の検知または防止システム（アンチウイルス、EDR、IDS、侵入
防止システムなど）とログを調査することで、攻撃の初期段階に関与した
追加のシステムやマルウェアの証拠を浮き彫りにすることができる。</t>
  </si>
  <si>
    <t xml:space="preserve">Bumblebee、Dridex、Emotet、QakBot、Anchorなどの前兆となる「ドロッ
パー」マルウェアの証拠を探す。
（ランサムウェアイベントは、以前の未解決のネットワーク侵害の証拠で
ある可能性がある。）</t>
  </si>
  <si>
    <t xml:space="preserve">初期の緩和措置が不可能な場合は、影響を受けたデバイスのサンプルのシ
ステムイメージとメモリキャプチャを取得する。</t>
  </si>
  <si>
    <t xml:space="preserve">既存IR手順・演習記録の該当箇所とChromeOS／クラウドの役割を確認する。新規の全社演習は設けず、不足は責任者へ課題化する。 Chromebook固有の手順（端末無効化・アカウント停止・証跡保全）は5.07b（11/4）で確認する。</t>
  </si>
  <si>
    <t xml:space="preserve">消失や改ざんを防ぐために、高揮発性または保持期間が限られている証拠
を保全する。</t>
  </si>
  <si>
    <t xml:space="preserve">ログ管理</t>
  </si>
  <si>
    <t xml:space="preserve">すべてのリソースでロギングを有効にし、異常な使用状況に対するアラー
トを設定する。</t>
  </si>
  <si>
    <t xml:space="preserve">ログ保管、監視、告知・自動対応の利用可能範囲を確認する。13か月保持要件は種類別に差分評価する。 端末側のログ・上報（Chromeイベント、システムログ、端末上の失敗ログイン）の確認（5.03）も根拠にする。</t>
  </si>
  <si>
    <t xml:space="preserve">サイバーセキュリティイベントのトリアージと修復をサポートするために
、ネットワークデバイス、ローカルホスト、クラウドサービスからのログ
を適切に保護して保持する。
（ログを分析して、イベントの影響を判断し、インシデントが発生したか
どうかを確認できる。）</t>
  </si>
  <si>
    <t xml:space="preserve">可能であれば、重要なシステムのログを最低13カ月間保持してバックアッ
プする。</t>
  </si>
  <si>
    <t xml:space="preserve">重要ログの13か月保持という原要求に対し、製品のログ種別別期間・外部保管・保護・検索を確認する。 端末側のログ・上報（Chromeイベント、システムログ、端末上の失敗ログイン）の確認（5.03）も根拠にする。</t>
  </si>
  <si>
    <t xml:space="preserve">セキュリティ情報とイベント管理ツールを使用して、一元化されたログ管
理をセットアップする。
（これにより、組織はネットワークとホストの両方のセキュリティデバイ
スからのログを関連付けることができる。複数のソースからのログをレビ
ューすることで、組織は個々のイベントをトリアージし、そのイベントが
組織に与える影響を判断できる。）</t>
  </si>
  <si>
    <t xml:space="preserve">外部侵入調査</t>
  </si>
  <si>
    <t xml:space="preserve">外部からの侵入と内部からの侵入による永続化メカニズムを特定するため
に、拡張分析を実施する。</t>
  </si>
  <si>
    <t xml:space="preserve">前兆マルウェア対策</t>
  </si>
  <si>
    <t xml:space="preserve">（悪意のあるアクターは、多くの場合、ポスト侵害アクティビティを不明
瞭にするためにランサムウェアバリアントをドロップする。）
バックアップから再構築する前に、このようなドロッパーマルウェアを特
定する。</t>
  </si>
  <si>
    <t xml:space="preserve">2.W</t>
  </si>
  <si>
    <t xml:space="preserve">ファイアウォール</t>
  </si>
  <si>
    <t xml:space="preserve">ファイアウォールで不審なIPアドレスをブロックする。</t>
  </si>
  <si>
    <t xml:space="preserve">公開サービス制御</t>
  </si>
  <si>
    <t xml:space="preserve">リモートデスクトッププロトコル（RDP）などのサービスをWeb上に公開し
ない。</t>
  </si>
  <si>
    <t xml:space="preserve">これらのサービスを公開する必要がある場合は、一般的な悪用や悪用を防
ぐために適切な代償制御を適用する。</t>
  </si>
  <si>
    <t xml:space="preserve">不要機能無効化</t>
  </si>
  <si>
    <t xml:space="preserve">インターネットに接続されている資産では、すべての不要なOSアプリケー
ションを無効にする。</t>
  </si>
  <si>
    <t xml:space="preserve">インターネットに接続されている資産では、すべての不要なネットワーク
プロトコルを無効にする。</t>
  </si>
  <si>
    <t xml:space="preserve">ビジネス目的で使用されていないポートやプロトコル（例：RDP - TCP ポ
ート3389）を無効にする。</t>
  </si>
  <si>
    <t xml:space="preserve">2.X</t>
  </si>
  <si>
    <t xml:space="preserve">データセンターホストファイアウォールを設定して、インターネットアク
セスを防止する。</t>
  </si>
  <si>
    <t xml:space="preserve">データセンターはインターネットへ直接アクセスしない。
(インターネット接続のあるサーバーを使用して、DC にインターネットア
クセスを許可する代わりに必要な更新を取得できる。)</t>
  </si>
  <si>
    <t xml:space="preserve">3.A</t>
  </si>
  <si>
    <t xml:space="preserve">許可されたRMMソリューションはVPNやVDI経由での利用に限定し、未承認
のRMM接続は境界でブロックする。</t>
  </si>
  <si>
    <t xml:space="preserve">ブラウジング中の追加の防御層として、ブラウザベースのAVを有効にして
アクティブスキャンを行う。</t>
  </si>
  <si>
    <t xml:space="preserve">原票の「ブラウザ型AVによる能動スキャン」は、ChromeOSではSafe Browsing（強化モード）、悪意あるダウンロードの遮断、警告回避の禁止で代替する。従来型AVとは機能が異なるため、同等ではなく「代替実装＋差異」として記録する。</t>
  </si>
  <si>
    <t xml:space="preserve">行動分析のために、特定または重要なアプリケーションに関連するアクテ
ィビティのビジネストランザクションロギングの使用を検討する。</t>
  </si>
  <si>
    <t xml:space="preserve">侵入検知</t>
  </si>
  <si>
    <t xml:space="preserve">ランサムウェア配置前に発生する可能性のある、コマンドアンドチェック
項目アクティビティやその他の潜在的に悪意のあるネットワークアクティ
ビティを検出するために、侵入検知システム（IDS）の実装を検討する。</t>
  </si>
  <si>
    <t xml:space="preserve">IDSが一元的に監視および管理されていることを確認する。ツールを適切
に設定し、警告と指標を適切な担当者にアクションのためにルーティング
する。</t>
  </si>
  <si>
    <t xml:space="preserve">通常時ベースライン</t>
  </si>
  <si>
    <t xml:space="preserve">通常のネットワークトラフィックのセキュリティベースラインを確立し、
異常動作を検知するためにネットワークアプライアンスを調整する。</t>
  </si>
  <si>
    <t xml:space="preserve">ホストベースの製品を調整して、異常なバイナリ、横移動、および永続化
技術を検知する。</t>
  </si>
  <si>
    <t xml:space="preserve">4.A</t>
  </si>
  <si>
    <t xml:space="preserve">規制対応</t>
  </si>
  <si>
    <t xml:space="preserve">法律に従って、サードパーティと規制当局にデータ侵害通知を提供する。</t>
  </si>
  <si>
    <t xml:space="preserve">教訓の反映</t>
  </si>
  <si>
    <t xml:space="preserve">インシデントと関連する対応活動から得られた教訓を文書化し、組織の方
針、計画、手順の更新と改善に反映させる。</t>
  </si>
  <si>
    <t xml:space="preserve">知見の共有</t>
  </si>
  <si>
    <t xml:space="preserve">学んだ教訓や関連する侵害指標をCISAやセクターISACと共有することを検
討する。（2020年版のSeq.０、Seq.１に相当する）</t>
  </si>
  <si>
    <t xml:space="preserve">5.A</t>
  </si>
  <si>
    <t xml:space="preserve">ドメイン管理者のような特権アカウントに関連する、新規作成されたADア
カウントや特権が昇格されたアカウントと最近のアクティビティをチェッ
クする。</t>
  </si>
  <si>
    <t xml:space="preserve">予期しないPowerShellの実行やPsToolsスイートの使用がないか確認する
。</t>
  </si>
  <si>
    <t xml:space="preserve">TerminalServices-RemoteConnectionManagerイベントログを確認し、RDP
ネットワーク接続の成功をチェックする。</t>
  </si>
  <si>
    <t xml:space="preserve">リモートモニタリングと管理(RMM)ソフトウェアの予期しない使用の兆候
を確認する。</t>
  </si>
  <si>
    <t xml:space="preserve">既存IR手順・演習記録の該当箇所とChromeOS／クラウドの役割を確認する。新規の全社演習は設けず、不足は責任者へ課題化する。 端末側のリモートアクセス系ツール（拡張・PWA・Androidアプリ・Chrome Remote Desktop）の制御（3.03／3.04）も根拠にする。</t>
  </si>
  <si>
    <t xml:space="preserve">影響を受けたシステムを特定し、即座に分離する。</t>
  </si>
  <si>
    <t xml:space="preserve">インシデントの封じ込めと緩和のための手順を継続する：特定のランサム
ウェア亜種に関する信頼できるガイダンスを調査し、追加の推奨手順に従
う。</t>
  </si>
  <si>
    <t xml:space="preserve">エンタープライズ環境
調査</t>
  </si>
  <si>
    <t xml:space="preserve">エンタープライズ環境の場合、さまざまな兆候をチェックする。</t>
  </si>
  <si>
    <t xml:space="preserve">エンドポイント変更調
査</t>
  </si>
  <si>
    <t xml:space="preserve">バックアップ、シャドウコピー、ディスクジャーナリング、起動設定を損
なう可能性のあるエンドポイントの変更を確認する。</t>
  </si>
  <si>
    <t xml:space="preserve">クラウド環境で、IAM、ネットワークセキュリティ、データ保護リソース
への変更を検知・防止するツールを有効化する。</t>
  </si>
  <si>
    <t xml:space="preserve">ログ保管、監視、告知・自動対応の利用可能範囲を確認する。13か月保持要件は種類別に差分評価する。</t>
  </si>
  <si>
    <t xml:space="preserve">クラウド環境で、一般的な問題を自動検知し、発生時に自動アクションを
取るオートメーションを使用する。</t>
  </si>
  <si>
    <t xml:space="preserve">サーバー側暗号化調査</t>
  </si>
  <si>
    <t xml:space="preserve">感染したワークステーションによってサーバー側のデータが暗号化されて
いる場合、サーバー側のデータ暗号化の迅速な特定手順に従う。</t>
  </si>
  <si>
    <t xml:space="preserve">システム再構築</t>
  </si>
  <si>
    <t xml:space="preserve">重要なサービスの優先度に基づいてシステムを再構築する。</t>
  </si>
  <si>
    <t xml:space="preserve">5.01の既存復元証跡を先に評価する。証跡不足または保護方式・保存先変更時のみデータ管理担当が追加復元試験を実施する。</t>
  </si>
  <si>
    <t xml:space="preserve">ステークホルダー連携</t>
  </si>
  <si>
    <t xml:space="preserve">サイバーインシデント対応および通信計画に概説されている通知要件に従
い、内部および外部のチームとステークホルダーを関与させる。</t>
  </si>
  <si>
    <t xml:space="preserve">セッション調査</t>
  </si>
  <si>
    <t xml:space="preserve">関連するサーバーのコンピュータ管理 &gt; セッションとオープンファイル
のリストを確認し、それらのファイルにアクセスしているユーザーまたは
システムを特定する。</t>
  </si>
  <si>
    <t xml:space="preserve">ツール使用調査</t>
  </si>
  <si>
    <t xml:space="preserve">bcdedit.exe、fsutil.exe（deletejournal）、vssadmin.exe、wbadmin.ex
e、wmic.exe（shadowcopyまたはshadowstorage）などの組み込みWindows
ツールの異常な使用を監視する。</t>
  </si>
  <si>
    <t xml:space="preserve">データ管理</t>
  </si>
  <si>
    <t xml:space="preserve">重要サービスの優先順位に基づいて、オフラインの暗号化されたバックア
ップからシステムを再接続し、データを復元する。</t>
  </si>
  <si>
    <t xml:space="preserve">ネットワークからデータが外部送信されている可能性の兆候を確認する。</t>
  </si>
  <si>
    <t xml:space="preserve">インシデントがデータ侵害につながった場合は、サイバーインシデント対
応および通信計画に概説されている通知要件に従う。</t>
  </si>
  <si>
    <t xml:space="preserve">デクリプタ入手</t>
  </si>
  <si>
    <t xml:space="preserve">利用可能なデクリプタについて連邦法執行機関に相談する。</t>
  </si>
  <si>
    <t xml:space="preserve">複数のシステムまたはサブネットが影響を受けている可能性がある場合は
、スイッチレベルでネットワークをオフラインにする。
（インシデント中に個々のシステムを切断することは現実的ではない場合
がある。）</t>
  </si>
  <si>
    <t xml:space="preserve">ネットワークを一時的にオフラインにすることがすぐにできない場合は、
ネットワークケーブル（イーサネットなど）を見つけて、影響を受けたデ
バイスをネットワークから抜くか、Wi-Fiから削除して、感染を封じ込め
る。</t>
  </si>
  <si>
    <t xml:space="preserve">パケットキャプチャ</t>
  </si>
  <si>
    <t xml:space="preserve">影響を受けたサーバー上でWiresharkなどのパケットキャプチャソフトウ
ェアを実行し、アクティブにファイルを書き込んだり名前を変更したりし
ているIPアドレスを特定するフィルター（例：smb2.filename contains c
ryptxxx）を使用する。</t>
  </si>
  <si>
    <t xml:space="preserve">影響を受けたすべてのシステムのパスワードをリセットし、関連する脆弱
性とセキュリティまたは可視性のギャップに対処する。</t>
  </si>
  <si>
    <t xml:space="preserve">クラウドリソースの場合は、フォレンジック調査のために後で確認できる
ように、ボリュームのスナップショットを取得して時点のコピーを取得す
る。</t>
  </si>
  <si>
    <t xml:space="preserve">ランサムウェア停止</t>
  </si>
  <si>
    <t xml:space="preserve">既知のランサムウェアバイナリの実行を停止または無効化する。</t>
  </si>
  <si>
    <t xml:space="preserve">仮想プライベートネットワーク、リモートアクセスサーバー、シングルサ
インオンリソース、およびクラウドベースまたはその他の公開向け資産を
無効にする。</t>
  </si>
  <si>
    <t xml:space="preserve">ログイン調査</t>
  </si>
  <si>
    <t xml:space="preserve">異常なVPNデバイスログインやその他の不審なログインをチェックする。</t>
  </si>
  <si>
    <t xml:space="preserve">暗号化されたファイルまたは身代金メモのファイルプロパティを確認し、
ファイルの所有権に関連する可能性のある特定のユーザーを特定する。</t>
  </si>
  <si>
    <t xml:space="preserve">影響評価</t>
  </si>
  <si>
    <t xml:space="preserve">影響を受けたシステムを、クリーンなネットワーク上での復元の優先順位
を付けて特定し、影響を受けたシステムに格納されているデータの性質を
確認する。</t>
  </si>
  <si>
    <t xml:space="preserve">影響を受けていないと認識されているシステムとデバイスを追跡すること
で、復元と回復の優先順位を下げることができ、組織をより効率的に業務
に戻すことができる。</t>
  </si>
  <si>
    <t xml:space="preserve">永続化調査</t>
  </si>
  <si>
    <t xml:space="preserve">新規作成されたサービス、予期しないスケジュールタスクを確認する。</t>
  </si>
  <si>
    <t xml:space="preserve">外部報告</t>
  </si>
  <si>
    <t xml:space="preserve">CISAや最寄りのFBI現地事務所、FBI Internet Crime Complaint Center (
IC3)、最寄りの米国シークレットサービス現地事務所にインシデントを報
告し、支援を求めることを検討する。（2020年版のSeq.０、Seq.１に相当
する）</t>
  </si>
  <si>
    <t xml:space="preserve">関連システム封じ込め</t>
  </si>
  <si>
    <t xml:space="preserve">上記で判明した侵害または危殆化の詳細に基づき、さらなる不正アクセス
や継続的な不正アクセスに使用される可能性のある関連システムを封じ込
める。</t>
  </si>
  <si>
    <t xml:space="preserve">脅威ハンティング</t>
  </si>
  <si>
    <t xml:space="preserve">脅威検索活動を開始する。</t>
  </si>
  <si>
    <t xml:space="preserve">最初の侵害後、悪意のあるアクターは、自分たちの行動が検出されたかど
うかを理解するために、組織のアクティビティや通信を監視する可能性が
ある。アクターに発見されたことや緩和措置が講じられていることを知ら
せないように、システムを協調的に分離し、電話などの帯域外の通信方法
を使用する。
（そうしないと、アクターがネットワークがオフラインになる前にアクセ
スを維持するために横方向に移動したり、ランサムウェアを広く展開した
りする可能性がある。）</t>
  </si>
  <si>
    <t xml:space="preserve">ADの列挙やLSASS資格情報のダンプの兆候を確認する。(e.g., Mimikatz, 
Sysinternals ProcDump, or NTDSutil.exe).</t>
  </si>
  <si>
    <t xml:space="preserve">重要システム優先対応</t>
  </si>
  <si>
    <t xml:space="preserve">日常業務に不可欠な重要なシステムの分離に優先順位を付ける。</t>
  </si>
  <si>
    <t xml:space="preserve">初期侵害ポイント特定</t>
  </si>
  <si>
    <t xml:space="preserve">初期侵害に関与したシステムとアカウントを特定する。</t>
  </si>
  <si>
    <t xml:space="preserve">初期分析</t>
  </si>
  <si>
    <t xml:space="preserve">チームと協議して、初期分析に基づいて何が起こったかについての初期の
理解を策定し、文書化する。</t>
  </si>
  <si>
    <t xml:space="preserve">電源断</t>
  </si>
  <si>
    <t xml:space="preserve">デバイスをネットワークから切断できない場合は、ランサムウェア感染の
さらなる拡散を避けるために電源を切る。</t>
  </si>
  <si>
    <t xml:space="preserve">内部通信調査</t>
  </si>
  <si>
    <t xml:space="preserve">予期しないエンドポイント間通信の兆候を確認する。</t>
  </si>
  <si>
    <t xml:space="preserve">認証イベントログ調査</t>
  </si>
  <si>
    <t xml:space="preserve">重要な認証またはアクセスイベントを特定するために、Windowsセキュリ
ティログ、SMBイベントログ、および関連するログを確認する。</t>
  </si>
  <si>
    <t xml:space="preserve">復旧優先度</t>
  </si>
  <si>
    <t xml:space="preserve">健康と安全、収益創出、またはその他の重要なサービスにとって重要な情
報システム、およびそれらが依存しているシステムを含む、事前に定義さ
れた重要な資産リストに基づいて、復元と回復に優先順位を付ける。</t>
  </si>
  <si>
    <t xml:space="preserve">O～X転記用（評価結果記入シート：グループ各社による一次評価記入欄の下書き）</t>
  </si>
  <si>
    <t xml:space="preserve">入力：D4（会社名コード）と黄色のI～L列。F・G・M～O・R～T列は評価項目対応から自動表示（白）。H列は原票Qの式のプレビューで貼付不可（灰）。貼付手順：①F:G列を原票O:Pへ、②I:O列を原票R:Xへ（いずれも値貼り付け。Q列は原票の式を維持）。貼り付けると既存のR～Uは上書きされるため原票を複製してから行う。並べ替えはしない（原票と同じ行順が前提）。</t>
  </si>
  <si>
    <t xml:space="preserve">会社名コード（必須）→</t>
  </si>
  <si>
    <t xml:space="preserve">原票O3は「AIS」、Sheet3等の記述は「ADS」。リスト定義の会社名コードから自社を確認して選択する。</t>
  </si>
  <si>
    <t xml:space="preserve">進捗</t>
  </si>
  <si>
    <t xml:space="preserve">会社名
(原票O列)</t>
  </si>
  <si>
    <t xml:space="preserve">評価要否
(原票P列)</t>
  </si>
  <si>
    <t xml:space="preserve">実装運用状況
(原票Q列・貼付不可)</t>
  </si>
  <si>
    <t xml:space="preserve">成熟度レベル
(原票R列)</t>
  </si>
  <si>
    <t xml:space="preserve">成熟度スコア
(原票S列)</t>
  </si>
  <si>
    <t xml:space="preserve">証跡名
(原票T列)</t>
  </si>
  <si>
    <t xml:space="preserve">追加情報
(原票U列)</t>
  </si>
  <si>
    <t xml:space="preserve">担当部署
(原票V列)</t>
  </si>
  <si>
    <t xml:space="preserve">回答責任者
(原票W列)</t>
  </si>
  <si>
    <t xml:space="preserve">回答者
(原票X列)</t>
  </si>
  <si>
    <t xml:space="preserve">未記入数</t>
  </si>
  <si>
    <t xml:space="preserve">チェック</t>
  </si>
  <si>
    <t xml:space="preserve">確認方針（参考）</t>
  </si>
  <si>
    <t xml:space="preserve">試験ID・判断理由（参考）</t>
  </si>
  <si>
    <t xml:space="preserve">参照行（内部用）</t>
  </si>
  <si>
    <t xml:space="preserve">R基準点（内部用）</t>
  </si>
  <si>
    <t xml:space="preserve">成熟度レベル（原票リスト定義）</t>
  </si>
  <si>
    <t xml:space="preserve">スコア</t>
  </si>
  <si>
    <t xml:space="preserve">記入例</t>
  </si>
  <si>
    <t xml:space="preserve">—</t>
  </si>
  <si>
    <t xml:space="preserve">（貼付対象外）</t>
  </si>
  <si>
    <t xml:space="preserve">例：管理コンソールの許可リストで個人Gmailのログインを拒否する。</t>
  </si>
  <si>
    <t xml:space="preserve">ADS</t>
  </si>
  <si>
    <t xml:space="preserve">対象</t>
  </si>
  <si>
    <t xml:space="preserve">No</t>
  </si>
  <si>
    <t xml:space="preserve">整備ができている</t>
  </si>
  <si>
    <t xml:space="preserve">試験記録2.01（設定画面・拒否ログ）</t>
  </si>
  <si>
    <t xml:space="preserve">許可リストを設定し、個人Gmailのログイン拒否を実機で確認。Linux環境は未検証のため制約として記載。</t>
  </si>
  <si>
    <t xml:space="preserve">（回答責任者名）</t>
  </si>
  <si>
    <t xml:space="preserve">（回答者名）</t>
  </si>
  <si>
    <t xml:space="preserve">最適化できている</t>
  </si>
  <si>
    <t xml:space="preserve">態勢が完備している</t>
  </si>
  <si>
    <t xml:space="preserve">初期対応ができている</t>
  </si>
  <si>
    <t xml:space="preserve">未対応</t>
  </si>
  <si>
    <t xml:space="preserve">対象外</t>
  </si>
  <si>
    <t xml:space="preserve">n/a</t>
  </si>
  <si>
    <t xml:space="preserve">計画前提・入力要領・公式参考資料</t>
  </si>
  <si>
    <t xml:space="preserve">黄色のセルは実施時に更新。試験合格・成熟度・適用性は実績確認後に決定する。 v3：前提23～28を追加、旧前提23（参考資料）は前提29へ移動。</t>
  </si>
  <si>
    <t xml:space="preserve">ID</t>
  </si>
  <si>
    <t xml:space="preserve">項目・資料名</t>
  </si>
  <si>
    <t xml:space="preserve">内容・適用上の注意</t>
  </si>
  <si>
    <t xml:space="preserve">出典・URL</t>
  </si>
  <si>
    <t xml:space="preserve">確認日</t>
  </si>
  <si>
    <t xml:space="preserve">前提01</t>
  </si>
  <si>
    <t xml:space="preserve">目的</t>
  </si>
  <si>
    <t xml:space="preserve">Chromebook導入前の一次セキュリティ評価を完了し、導入条件・残余リスクを判断可能にする。</t>
  </si>
  <si>
    <t xml:space="preserve">前提02</t>
  </si>
  <si>
    <t xml:space="preserve">計画前提</t>
  </si>
  <si>
    <t xml:space="preserve">開始2026/10/07、提出2026/11/10の暫定案。前版11/13から、既存証跡の活用と接続準備の前倒しにより見直し。外部回答の遅延・追加基盤構築は再計画する。</t>
  </si>
  <si>
    <t xml:space="preserve">前提03</t>
  </si>
  <si>
    <t xml:space="preserve">担当前提</t>
  </si>
  <si>
    <t xml:space="preserve">主担当SE1名。権限・契約・ネットワーク・セキュリティ・業務部門の協力を前提とする。担当者名は着手時に確定。</t>
  </si>
  <si>
    <t xml:space="preserve">前提04</t>
  </si>
  <si>
    <t xml:space="preserve">日付と工数</t>
  </si>
  <si>
    <t xml:space="preserve">開始・終了は作業窓。L列はSEの基本工数、S列は必要時の追加工数（1人日8時間）。待ち時間・他部署の実作業は含まない。同日負荷は作業窓内で調整する。 作業窓は区間容量検査（任意の区間で、その区間に収まる作業窓の工数合計が稼働日数以内）を満たすよう設定する。</t>
  </si>
  <si>
    <t xml:space="preserve">前提05</t>
  </si>
  <si>
    <t xml:space="preserve">待ち時間</t>
  </si>
  <si>
    <t xml:space="preserve">4.04a～d・5.01・5.07a・5.08は証跡回収、6.01は随時入力のため長い期間を設定。依存IDの成果を受領した範囲から順次進める。</t>
  </si>
  <si>
    <t xml:space="preserve">前提06</t>
  </si>
  <si>
    <t xml:space="preserve">判定基準</t>
  </si>
  <si>
    <t xml:space="preserve">ロック時間5分等はSheet3の候補。更新期限・離線条件・RPO/RTO・ログ期間・重大NG条件は1.03で合意する。</t>
  </si>
  <si>
    <t xml:space="preserve">前提07</t>
  </si>
  <si>
    <t xml:space="preserve">ライセンス</t>
  </si>
  <si>
    <t xml:space="preserve">Business Starter＋CEUを固定前提にしない。DLP等は追加ライセンス／上位版の必要性を1.04で確認する。</t>
  </si>
  <si>
    <t xml:space="preserve">前提08</t>
  </si>
  <si>
    <t xml:space="preserve">試験の安全性</t>
  </si>
  <si>
    <t xml:space="preserve">実マルウェア、実フィッシングサイト、業務データは使わない。無害な試験ファイル・専用OUを使用する。初期化前に証跡と必要データを退避する。</t>
  </si>
  <si>
    <t xml:space="preserve">前提09</t>
  </si>
  <si>
    <t xml:space="preserve">テスト記録</t>
  </si>
  <si>
    <t xml:space="preserve">関連ポリシーをまとめて設定・確認し、共通画面・ログは再利用する。実施前に1.05で試験ID・手順・期待値を具体化し、結果と証跡を記録する。</t>
  </si>
  <si>
    <t xml:space="preserve">前提10</t>
  </si>
  <si>
    <t xml:space="preserve">231項目の対応表</t>
  </si>
  <si>
    <t xml:space="preserve">原票の行・枝番号・チェック内容を保存した評価作業の割当案。主担当WBSは入口であり、記載内容のすべてが実装済みという意味ではない。</t>
  </si>
  <si>
    <t xml:space="preserve">前提11</t>
  </si>
  <si>
    <t xml:space="preserve">対象外の判断</t>
  </si>
  <si>
    <t xml:space="preserve">Windows固有要件でもVDI・AD・SMB等の接続先に適用し得る。未契約・機能不足・未検証は対象外理由にしない。</t>
  </si>
  <si>
    <t xml:space="preserve">前提12</t>
  </si>
  <si>
    <t xml:space="preserve">O～Xの入力</t>
  </si>
  <si>
    <t xml:space="preserve">O会社名、P評価要否、R成熟度、Sスコア、T証跡名、U補足、V部署、W責任者、X回答者。QはS参照の既存公式を維持。 v3ではO～X転記用シートで下書きし、値貼り付けする。</t>
  </si>
  <si>
    <t xml:space="preserve">前提13</t>
  </si>
  <si>
    <t xml:space="preserve">n/aの意味</t>
  </si>
  <si>
    <t xml:space="preserve">原票ではPのn/aは該当有無不明。成熟度・スコアの対象外表記とは意味が異なる。元の入力規則を原票管理者に確認する。</t>
  </si>
  <si>
    <t xml:space="preserve">前提14</t>
  </si>
  <si>
    <t xml:space="preserve">成熟度</t>
  </si>
  <si>
    <t xml:space="preserve">PoC成功のみでレベル4/5としない。原票が参照する2024年説明資料を入手し、展開範囲・継続運用・改善の実績を確認する。</t>
  </si>
  <si>
    <t xml:space="preserve">前提15</t>
  </si>
  <si>
    <t xml:space="preserve">原票の課題</t>
  </si>
  <si>
    <t xml:space="preserve">N列に参照エラー。R/Sは231項目に既存値、Tは15件、V～Xは空欄。P・U・R/Sの不整合とDC訳語を確認する。原票は今回変更していない。</t>
  </si>
  <si>
    <t xml:space="preserve">前提16</t>
  </si>
  <si>
    <t xml:space="preserve">前版（v2）からの変更</t>
  </si>
  <si>
    <t xml:space="preserve">ネットワーク準備を1.09～1.11へ前倒し。5.01は既存復元証跡、5.02は必要時のみ、5.07は既存IR手順確認、3.09と4.08は仕様・既存証跡中心に変更。</t>
  </si>
  <si>
    <t xml:space="preserve">前提17</t>
  </si>
  <si>
    <t xml:space="preserve">バックアップと業務復帰</t>
  </si>
  <si>
    <t xml:space="preserve">端末に重要データを残さない方針を確認する。5.06は初期化・再登録・業務復帰、5.01/5.02は保存先データの削除・上書きに対する保護を評価する。</t>
  </si>
  <si>
    <t xml:space="preserve">前提18</t>
  </si>
  <si>
    <t xml:space="preserve">実施責任</t>
  </si>
  <si>
    <t xml:space="preserve">SEは端末試験と一次評価の整理を担当。データ復元・VDI・メール・SOCの既存証跡は各責任者が提供。新規の全社演習・監視基盤構築は別作業として課題化する。</t>
  </si>
  <si>
    <t xml:space="preserve">前提19</t>
  </si>
  <si>
    <t xml:space="preserve">追加試験の条件</t>
  </si>
  <si>
    <t xml:space="preserve">5.02のDrive部分は必須（SE立会）、その他の保存先は復元証跡不足・データ保護変更時のみ。4.07の実機追加は当該機能を採用する場合、6.04は是正が必要な場合のみ。省略時も根拠と判断者を記録する。</t>
  </si>
  <si>
    <t xml:space="preserve">前提20</t>
  </si>
  <si>
    <t xml:space="preserve">依存の扱い</t>
  </si>
  <si>
    <t xml:space="preserve">依存WBSは関連入力・前提を表す。既存資料回収や随時入力は並行可能。実機試験は必要な設定・接続が完了してから実施する。</t>
  </si>
  <si>
    <t xml:space="preserve">前提21</t>
  </si>
  <si>
    <t xml:space="preserve">状態の使い方</t>
  </si>
  <si>
    <t xml:space="preserve">未着手／実施中／証跡待ち／レビュー待ち／完了／保留。対象外でも根拠・責任者の承認が揃うまでは完了としない。</t>
  </si>
  <si>
    <t xml:space="preserve">前提22</t>
  </si>
  <si>
    <t xml:space="preserve">終了判定</t>
  </si>
  <si>
    <t xml:space="preserve">231項目の適用性・責任・証跡・不足が明確、重大未解決の扱いが決定、O～Xの整合性レビューと提出が完了。</t>
  </si>
  <si>
    <t xml:space="preserve">前提23</t>
  </si>
  <si>
    <t xml:space="preserve">v3の変更方針</t>
  </si>
  <si>
    <t xml:space="preserve">レビュー指摘を反映。①Chromebook側で未確認だった制御（SMB／NTLM、リモートアクセス、PWA、管理コンソール保護、端末側ログ、生成AI、Driveランサムウェア検知）を追加、②4.04を責任者別の4.04a～d、5.07を5.07a／bへ分割、③6.02は廃止し1.02／1.03／6.06へ統合（IDは欠番）、④評価項目対応に関連WBS（副）とV～X列を追加、⑤O～X転記用と工数・日程確認を追加。差分はv3変更履歴を参照。</t>
  </si>
  <si>
    <t xml:space="preserve">前提24</t>
  </si>
  <si>
    <t xml:space="preserve">O～Xの評価対象範囲</t>
  </si>
  <si>
    <t xml:space="preserve">R／SをChromebook導入範囲で付けるか、全社の現状として付けるかは未確定（原票D36は複数システムの案分を認める）。1.03で評価責任者と確認し、確定までR／Sは確定値にしない。</t>
  </si>
  <si>
    <t xml:space="preserve">前提25</t>
  </si>
  <si>
    <t xml:space="preserve">会社名コード</t>
  </si>
  <si>
    <t xml:space="preserve">原票O3は「AIS」だが、Sheet3等の記述には「ADS」がある。リスト定義の会社名コードから自社を確認し、O～X転記用のD4に設定する（未設定ならO列は空欄、チェック列が警告する）。</t>
  </si>
  <si>
    <t xml:space="preserve">前提26</t>
  </si>
  <si>
    <t xml:space="preserve">工数と容量</t>
  </si>
  <si>
    <t xml:space="preserve">「工数・日程確認」シートの式で、稼働日数、SE基本工数、余裕、条件付き追加の過不足を確認する。条件付き追加（4.07、5.02の他保存先、6.04）が重なると余裕を超え得る。その場合は提出日を再判断する。</t>
  </si>
  <si>
    <t xml:space="preserve">前提27</t>
  </si>
  <si>
    <t xml:space="preserve">前倒しと期限の選択肢</t>
  </si>
  <si>
    <t xml:space="preserve">10/5・10/6（稼働日）を使える場合は、1.01～1.04・1.09の依頼系作業を前倒しでき、11/10提出を維持しやすい（v3には未適用）。前版は11/13終了だったため、提出期限に余裕があるかを評価責任者に確認する。</t>
  </si>
  <si>
    <t xml:space="preserve">前提28</t>
  </si>
  <si>
    <t xml:space="preserve">O～X転記用の使い方</t>
  </si>
  <si>
    <t xml:space="preserve">①D4に会社名コードを設定 ②評価項目対応のI（適用性）・J（担当部署）・N（回答責任者）・O（回答者）を入力 ③転記用のI～L列（R成熟度レベル、Sスコア、T証跡名、U追加情報）を入力し、P・Q列が全行OKになるまで直す ④原票へ値貼り付け（F:G→O:P、I:O→R:X。Q列は原票の式を維持）。貼り付けると既存のR～Uは上書きされるため、原票を複製してから行う。並べ替えはしない。</t>
  </si>
  <si>
    <t xml:space="preserve">前提29</t>
  </si>
  <si>
    <t xml:space="preserve">参考資料</t>
  </si>
  <si>
    <t xml:space="preserve">以下のGoogle公式資料は製品の実装参照。MS-ISACとの対応づけは本WBSの評価案であり、Googleによる認証ではない。確認日：2026/10/02。 v3で追加した資料（C02～C04、G18～G21）の確認日は2026/10/03。</t>
  </si>
  <si>
    <t xml:space="preserve">G16</t>
  </si>
  <si>
    <t xml:space="preserve">Microsoft：Work with VBA macros in Excel for the web</t>
  </si>
  <si>
    <t xml:space="preserve">Web版のVBA非実行を確認。VDIのデスクトップ版Officeは別評価。</t>
  </si>
  <si>
    <t xml:space="preserve">https://support.microsoft.com/en-us/excel/work-with-vba-macros-in-excel-for-the-web</t>
  </si>
  <si>
    <t xml:space="preserve">2026/10/02</t>
  </si>
  <si>
    <t xml:space="preserve">G17</t>
  </si>
  <si>
    <t xml:space="preserve">Google：Sync your account settings</t>
  </si>
  <si>
    <t xml:space="preserve">同期は管理者設定に依存。1分以内の保証を合格基準としない。</t>
  </si>
  <si>
    <t xml:space="preserve">https://support.google.com/chromebook/answer/2914794?hl=en</t>
  </si>
  <si>
    <t xml:space="preserve">提供資料：MS-ISAC StopRansomware チェックシート</t>
  </si>
  <si>
    <t xml:space="preserve">原要件・証跡・入力ルール。枝番号はF列。</t>
  </si>
  <si>
    <t xml:space="preserve">添付原票：評価結果記入シート（231項目）、評価実施手順</t>
  </si>
  <si>
    <t xml:space="preserve">I02</t>
  </si>
  <si>
    <t xml:space="preserve">提供資料：既存WBS・原票の監査結果</t>
  </si>
  <si>
    <t xml:space="preserve">既存WBSを再構成。既存成熟度値は今回の結果として引き継がない。</t>
  </si>
  <si>
    <t xml:space="preserve">添付：Chromebook_POC_WBS.xlsx／前回レビュー</t>
  </si>
  <si>
    <t xml:space="preserve">I03</t>
  </si>
  <si>
    <t xml:space="preserve">提供資料：Sheet3</t>
  </si>
  <si>
    <t xml:space="preserve">参考案。会社規程やGoogle保証と扱わず、5分ロック等は承認する。</t>
  </si>
  <si>
    <t xml:space="preserve">添付原票：名称がSheet3のワークシート</t>
  </si>
  <si>
    <t xml:space="preserve">C01</t>
  </si>
  <si>
    <t xml:space="preserve">CISA／MS-ISAC：StopRansomware Guide（原票参照版）</t>
  </si>
  <si>
    <t xml:space="preserve">原票の参照先。適用版は評価責任者と合意し、新版へ自動変更しない。</t>
  </si>
  <si>
    <t xml:space="preserve">https://www.cisa.gov/sites/default/files/2023-10/StopRansomware-Guide-508C-v3_1.pdf</t>
  </si>
  <si>
    <t xml:space="preserve">G01</t>
  </si>
  <si>
    <t xml:space="preserve">Google：ChromeOS デバイスを設定する</t>
  </si>
  <si>
    <t xml:space="preserve">環境、ネットワーク、ポリシー、更新、登録。</t>
  </si>
  <si>
    <t xml:space="preserve">https://support.google.com/chrome/a/answer/4601288?hl=ja</t>
  </si>
  <si>
    <t xml:space="preserve">G02</t>
  </si>
  <si>
    <t xml:space="preserve">Google：ChromeOS Enterprise Upgrade trial</t>
  </si>
  <si>
    <t xml:space="preserve">試用・端末管理。試用期限と本番契約を別に確認する。</t>
  </si>
  <si>
    <t xml:space="preserve">https://support.google.com/chrome/a/answer/7679452?hl=en</t>
  </si>
  <si>
    <t xml:space="preserve">Google：Set ChromeOS device policies</t>
  </si>
  <si>
    <t xml:space="preserve">端末OU、ログイン、再登録、更新等。</t>
  </si>
  <si>
    <t xml:space="preserve">https://support.google.com/chrome/a/answer/1375678?hl=en</t>
  </si>
  <si>
    <t xml:space="preserve">Google：Set Chrome policies for users or browsers</t>
  </si>
  <si>
    <t xml:space="preserve">ユーザーOU、追加アカウント、アプリ、外部ストレージ等。</t>
  </si>
  <si>
    <t xml:space="preserve">https://support.google.com/chrome/a/answer/2657289?hl=en</t>
  </si>
  <si>
    <t xml:space="preserve">G05</t>
  </si>
  <si>
    <t xml:space="preserve">Google：Let multiple users sign in at the same time</t>
  </si>
  <si>
    <t xml:space="preserve">端末の複数ユーザー同時ログイン。</t>
  </si>
  <si>
    <t xml:space="preserve">https://support.google.com/chrome/a/answer/6080900?hl=en</t>
  </si>
  <si>
    <t xml:space="preserve">G06</t>
  </si>
  <si>
    <t xml:space="preserve">Google：セキュリティとプライバシーに関するポリシー</t>
  </si>
  <si>
    <t xml:space="preserve">Web・URL・ブラウザ保存。対応プラットフォームを確認する。</t>
  </si>
  <si>
    <t xml:space="preserve">https://support.google.com/chrome/a/answer/9036555?hl=ja</t>
  </si>
  <si>
    <t xml:space="preserve">G07</t>
  </si>
  <si>
    <t xml:space="preserve">Google：About DLP</t>
  </si>
  <si>
    <t xml:space="preserve">DLPの対応エディション。共有制限と内容検査を区別する。</t>
  </si>
  <si>
    <t xml:space="preserve">https://support.google.com/a/answer/9646351?hl=en</t>
  </si>
  <si>
    <t xml:space="preserve">Google：Control which apps access Google Workspace data</t>
  </si>
  <si>
    <t xml:space="preserve">OAuthアプリ・アクセス制御。</t>
  </si>
  <si>
    <t xml:space="preserve">https://support.google.com/a/answer/7281227?hl=en</t>
  </si>
  <si>
    <t xml:space="preserve">G09</t>
  </si>
  <si>
    <t xml:space="preserve">Google：Force wiped ChromeOS devices to re-enroll</t>
  </si>
  <si>
    <t xml:space="preserve">初期化後の管理維持・開発者モードとの関係。</t>
  </si>
  <si>
    <t xml:space="preserve">https://support.google.com/chrome/a/answer/6352858?hl=en</t>
  </si>
  <si>
    <t xml:space="preserve">G10</t>
  </si>
  <si>
    <t xml:space="preserve">Google：Auto Update policy</t>
  </si>
  <si>
    <t xml:space="preserve">機種別自動更新期限。</t>
  </si>
  <si>
    <t xml:space="preserve">https://support.google.com/chrome/a/answer/6220366?hl=en</t>
  </si>
  <si>
    <t xml:space="preserve">G11</t>
  </si>
  <si>
    <t xml:space="preserve">Google：ChromeOS security resources</t>
  </si>
  <si>
    <t xml:space="preserve">仕様確認の入口。試験機種と対応機能を確認し宣伝表現だけで合格にしない。</t>
  </si>
  <si>
    <t xml:space="preserve">https://chromeos.google/resources/security/</t>
  </si>
  <si>
    <t xml:space="preserve">G12</t>
  </si>
  <si>
    <t xml:space="preserve">Google：Data retention and lag times</t>
  </si>
  <si>
    <t xml:space="preserve">ログ種別別の保存・遅延。契約環境で再確認する。</t>
  </si>
  <si>
    <t xml:space="preserve">https://support.google.com/a/answer/7061566?hl=en</t>
  </si>
  <si>
    <t xml:space="preserve">Google：Repair, repurpose, or retire ChromeOS devices</t>
  </si>
  <si>
    <t xml:space="preserve">Disable、初期化、再有効化、Deprovisionの区別。</t>
  </si>
  <si>
    <t xml:space="preserve">https://support.google.com/chrome/a/answer/3523633?hl=en</t>
  </si>
  <si>
    <t xml:space="preserve">G14</t>
  </si>
  <si>
    <t xml:space="preserve">Google：Protect your business with Context-Aware Access</t>
  </si>
  <si>
    <t xml:space="preserve">端末状態等によるアクセス制御と対応エディション。</t>
  </si>
  <si>
    <t xml:space="preserve">https://knowledge.workspace.google.com/admin/security/protect-your-business-with-context-aware-access</t>
  </si>
  <si>
    <t xml:space="preserve">G15</t>
  </si>
  <si>
    <t xml:space="preserve">Google：Security checklist for medium and large businesses</t>
  </si>
  <si>
    <t xml:space="preserve">管理者保護・認証・メール・共有の公式確認観点。規模・契約に合わせて適用。</t>
  </si>
  <si>
    <t xml:space="preserve">https://knowledge.workspace.google.com/admin/security/security-checklist-for-medium-and-large-businesses-100-users</t>
  </si>
  <si>
    <t xml:space="preserve">J01</t>
  </si>
  <si>
    <t xml:space="preserve">内閣府：国民の祝日について</t>
  </si>
  <si>
    <t xml:space="preserve">2026/10/12・11/03を計画から除外。</t>
  </si>
  <si>
    <t xml:space="preserve">https://www8.cao.go.jp/chosei/shukujitsu/gaiyou.html</t>
  </si>
  <si>
    <t xml:space="preserve">C02</t>
  </si>
  <si>
    <t xml:space="preserve">ACSC：Small business Google Chromebook and ChromeOS security guide</t>
  </si>
  <si>
    <t xml:space="preserve">ChromeOSの管理者保護、ユーザー・端末設定、報告、Driveの復旧上限、デスクトップアプリの事前検証の観点。第三者の推奨であり製品仕様ではない。</t>
  </si>
  <si>
    <t xml:space="preserve">https://www.cyber.gov.au/resources-business-and-government/essential-cybersecurity/small-business-cybersecurity/small-business-cloud-security-guides/small-business-google-chromebook-and-chromeos-security-guide</t>
  </si>
  <si>
    <t xml:space="preserve">2026/10/03</t>
  </si>
  <si>
    <t xml:space="preserve">C03</t>
  </si>
  <si>
    <t xml:space="preserve">NCSC：Device security guidance - ChromeOS</t>
  </si>
  <si>
    <t xml:space="preserve">PWAの導入、Linux環境（Crostini）、AV不要の考え方。ChromeOS v131で検証した版。旧版の指摘（端末上の失敗ログイン等）は新版で再確認する。</t>
  </si>
  <si>
    <t xml:space="preserve">https://www.ncsc.gov.uk/collection/device-security-guidance/platform-guides/chrome-os</t>
  </si>
  <si>
    <t xml:space="preserve">C04</t>
  </si>
  <si>
    <t xml:space="preserve">CIS：Google ChromeOS Benchmark</t>
  </si>
  <si>
    <t xml:space="preserve">Directory／Chrome／Apps等の設定観点（L1／L2）。PDFは無償、Excel等はSecureSuite。入手版と試験機のChromeOS版を照合して使う。</t>
  </si>
  <si>
    <t xml:space="preserve">https://www.cisecurity.org/benchmark/chromeos</t>
  </si>
  <si>
    <t xml:space="preserve">G18</t>
  </si>
  <si>
    <t xml:space="preserve">Google Workspace Updates：Ransomware detection and file restoration for Google Drive GA</t>
  </si>
  <si>
    <t xml:space="preserve">Drive for desktop前提の検知とファイル復元。ChromeOSへの適用は記載を確認できず、1.04／5.02で確認する。</t>
  </si>
  <si>
    <t xml:space="preserve">https://workspaceupdates.googleblog.com/2026/03/ransomware-detection-and-file-restoration-for-Google-Drive-now-generally-available.html</t>
  </si>
  <si>
    <t xml:space="preserve">G19</t>
  </si>
  <si>
    <t xml:space="preserve">Google：Detect ransomware and recover files in Drive for desktop</t>
  </si>
  <si>
    <t xml:space="preserve">管理コンソールの設定（Malware and Ransomware）と対応エディション。検知は一部エディション限定との報道があるため、契約エディションで確認する。</t>
  </si>
  <si>
    <t xml:space="preserve">https://knowledge.workspace.google.com/admin/drive/detect-ransomware-and-recover-files-in-drive-for-desktop</t>
  </si>
  <si>
    <t xml:space="preserve">G20</t>
  </si>
  <si>
    <t xml:space="preserve">Chrome Enterprise：Policy list（NetworkFileSharesAllowed等）</t>
  </si>
  <si>
    <t xml:space="preserve">SMB共有の可否・NTLM・NetBIOS探索のポリシー。管理コンソールではNetwork file shares設定。</t>
  </si>
  <si>
    <t xml:space="preserve">https://chromeenterprise.google/policies/</t>
  </si>
  <si>
    <t xml:space="preserve">G21</t>
  </si>
  <si>
    <t xml:space="preserve">Microsoft：Edge policies（Website typo protection）</t>
  </si>
  <si>
    <t xml:space="preserve">原票のTracking prevention／Website typo protectionはEdgeの機能名。typo protectionのポリシーはTyposquattingCheckerEnabled。</t>
  </si>
  <si>
    <t xml:space="preserve">https://learn.microsoft.com/deployedge/microsoft-edge-policies</t>
  </si>
  <si>
    <t xml:space="preserve">工数・日程確認（式による集計）</t>
  </si>
  <si>
    <t xml:space="preserve">黄色のセルを更新すると集計が変わる。作業窓の妥当性（区間容量検査）は作成時に確認し、結果をv3変更履歴に記録した。</t>
  </si>
  <si>
    <t xml:space="preserve">項目</t>
  </si>
  <si>
    <t xml:space="preserve">値</t>
  </si>
  <si>
    <t xml:space="preserve">条件付き</t>
  </si>
  <si>
    <t xml:space="preserve">説明</t>
  </si>
  <si>
    <t xml:space="preserve">開始日</t>
  </si>
  <si>
    <t xml:space="preserve">WBSの最初の作業日（入力）</t>
  </si>
  <si>
    <t xml:space="preserve">提出日</t>
  </si>
  <si>
    <t xml:space="preserve">一次評価の提出予定日（入力）</t>
  </si>
  <si>
    <t xml:space="preserve">祝日1</t>
  </si>
  <si>
    <t xml:space="preserve">スポーツの日（稼働日から除外）</t>
  </si>
  <si>
    <t xml:space="preserve">祝日2</t>
  </si>
  <si>
    <t xml:space="preserve">文化の日（稼働日から除外）</t>
  </si>
  <si>
    <t xml:space="preserve">祝日3（任意）</t>
  </si>
  <si>
    <t xml:space="preserve">必要なら追加（入力）</t>
  </si>
  <si>
    <t xml:space="preserve">祝日4（任意）</t>
  </si>
  <si>
    <t xml:space="preserve">稼働日数（開始日～提出日、祝日除く）</t>
  </si>
  <si>
    <t xml:space="preserve">SE1名・1日1人日として計算</t>
  </si>
  <si>
    <t xml:space="preserve">SE基本工数（人日）</t>
  </si>
  <si>
    <t xml:space="preserve">WBS L列の合計（他部署の実作業は含まない）</t>
  </si>
  <si>
    <t xml:space="preserve">余裕（人日）</t>
  </si>
  <si>
    <t xml:space="preserve">稼働日数－基本工数</t>
  </si>
  <si>
    <t xml:space="preserve">稼働率</t>
  </si>
  <si>
    <t xml:space="preserve">基本工数÷稼働日数</t>
  </si>
  <si>
    <t xml:space="preserve">条件付き追加（人日）</t>
  </si>
  <si>
    <t xml:space="preserve">WBS S列の合計（4.07、5.02の他保存先、6.04）</t>
  </si>
  <si>
    <t xml:space="preserve">条件付きがすべて発生した場合の過不足（人日）</t>
  </si>
  <si>
    <t xml:space="preserve">マイナスなら超過</t>
  </si>
  <si>
    <t xml:space="preserve">判定</t>
  </si>
  <si>
    <t xml:space="preserve">週末・祝日にかかる開始／終了日の件数</t>
  </si>
  <si>
    <t xml:space="preserve">0が正常（WBSの開始・終了日が稼働日であることの確認）</t>
  </si>
  <si>
    <t xml:space="preserve">大項目別の工数（人日）</t>
  </si>
  <si>
    <t xml:space="preserve">基本</t>
  </si>
  <si>
    <t xml:space="preserve">合計</t>
  </si>
  <si>
    <t xml:space="preserve">WBS L4／S4と一致する</t>
  </si>
  <si>
    <t xml:space="preserve">v3変更履歴（v2→v3）</t>
  </si>
  <si>
    <t xml:space="preserve">レビュー指摘の反映内容。工数は人日。日程・工数の前後比較は下段の表を参照。</t>
  </si>
  <si>
    <t xml:space="preserve">区分</t>
  </si>
  <si>
    <t xml:space="preserve">前版（v2）</t>
  </si>
  <si>
    <t xml:space="preserve">v3</t>
  </si>
  <si>
    <t xml:space="preserve">理由・根拠</t>
  </si>
  <si>
    <t xml:space="preserve">影響（評価項目／工数）</t>
  </si>
  <si>
    <t xml:space="preserve">WBS 4.09</t>
  </si>
  <si>
    <t xml:space="preserve">SMB／NTLMクライアント制御（Chromebook側）。0.25人日、10/27～10/28</t>
  </si>
  <si>
    <t xml:space="preserve">ChromeOSにはネットワークファイル共有の可否・NTLM・NetBIOS探索のポリシーがあるが、v2では接続先の既存証跡扱いだった</t>
  </si>
  <si>
    <t xml:space="preserve">F58, F60, F62, F163, F167（副）／+0.25</t>
  </si>
  <si>
    <t xml:space="preserve">WBS 3.03・3.04</t>
  </si>
  <si>
    <t xml:space="preserve">拡張機能とAndroidアプリの許可リストのみ</t>
  </si>
  <si>
    <t xml:space="preserve">PWA、リモートアクセス系ツール（拡張・Chrome Remote Desktop・Androidアプリ）を追加。3.03は0.25→0.45</t>
  </si>
  <si>
    <t xml:space="preserve">NCSC：PWAはユーザーが導入できる。ACSC：リモートアクセスのhost／client制限</t>
  </si>
  <si>
    <t xml:space="preserve">F42, F141, F142, F201（副）／+0.20</t>
  </si>
  <si>
    <t xml:space="preserve">WBS 2.06</t>
  </si>
  <si>
    <t xml:space="preserve">権限分離のみ（0.50）</t>
  </si>
  <si>
    <t xml:space="preserve">管理コンソール自体の保護（break-glass、管理者のセキュリティキー、管理端末限定、復旧オプション）を追加。0.50→0.75</t>
  </si>
  <si>
    <t xml:space="preserve">ACSCの管理者保護の推奨。最初のご相談の「管理ページの組織ログイン」に相当</t>
  </si>
  <si>
    <t xml:space="preserve">F72～F74（副）、F76, F79, F80, F92／+0.25</t>
  </si>
  <si>
    <t xml:space="preserve">WBS 3.01</t>
  </si>
  <si>
    <t xml:space="preserve">ゲスト・開発者モード・Linux・Android</t>
  </si>
  <si>
    <t xml:space="preserve">DevTools、chrome://flags、Crosh、管理ゲストセッションを追加。0.25→0.40</t>
  </si>
  <si>
    <t xml:space="preserve">ACSCの基線設定にあるが、v2には無かった</t>
  </si>
  <si>
    <t xml:space="preserve">+0.15</t>
  </si>
  <si>
    <t xml:space="preserve">WBS 2.03・2.04・2.05</t>
  </si>
  <si>
    <t xml:space="preserve">パスキー／セキュリティキー（2.03）、最大セッション時間と強制オンライン再認証（2.04）、漏えい資格情報検知・Password Alert（2.05）を追加</t>
  </si>
  <si>
    <t xml:space="preserve">Sheet3のパスキー、ACSCの基線設定</t>
  </si>
  <si>
    <t xml:space="preserve">F72～F74ほか／工数据置</t>
  </si>
  <si>
    <t xml:space="preserve">WBS 4.01・4.02</t>
  </si>
  <si>
    <t xml:space="preserve">証明書エラー上書き・Safe Browsing強化モード（4.01）、生成AI機能・Edge固有機能の扱い（4.02）を追加</t>
  </si>
  <si>
    <t xml:space="preserve">NCSC：Assistant（Gemini含む）は有効化の要否を決める対象。原票のTracking prevention／Website typo protectionはEdgeの機能名</t>
  </si>
  <si>
    <t xml:space="preserve">F176～F178／工数据置</t>
  </si>
  <si>
    <t xml:space="preserve">WBS 5.03</t>
  </si>
  <si>
    <t xml:space="preserve">ログイン・管理変更・共有・OAuthのイベント</t>
  </si>
  <si>
    <t xml:space="preserve">端末側のログ・上報（Chromeイベント、端末情報、システムログ、端末上の失敗ログイン）を追加。0.50→0.65</t>
  </si>
  <si>
    <t xml:space="preserve">ACSCの報告設定。NCSC旧版は端末上の失敗ログインを遠隔収集できないと指摘しており、新版で再確認する</t>
  </si>
  <si>
    <t xml:space="preserve">F83, F84, F137, F169～F171（副）／+0.15</t>
  </si>
  <si>
    <t xml:space="preserve">WBS 5.05・5.06</t>
  </si>
  <si>
    <t xml:space="preserve">Disable・再有効化／初期化・再登録</t>
  </si>
  <si>
    <t xml:space="preserve">5.05にリモート消去の可否・反映を追加。5.06にゴールデンイメージ・予備ハードウェア相当の確認を追加し、F3・F8の主対応とする</t>
  </si>
  <si>
    <t xml:space="preserve">Sheet3のリモートワイプ。ChromeOSは設定がクラウド管理で、再登録で復元できる</t>
  </si>
  <si>
    <t xml:space="preserve">F3, F8（主対応を5.01→5.06）／工数据置</t>
  </si>
  <si>
    <t xml:space="preserve">WBS 1.04</t>
  </si>
  <si>
    <t xml:space="preserve">ライセンス・機能適用範囲</t>
  </si>
  <si>
    <t xml:space="preserve">Driveランサムウェア検知・ファイル復元の対応エディションとChromeOSでの適用有無を追加</t>
  </si>
  <si>
    <t xml:space="preserve">検知はDrive for desktop前提の記載で、ChromeOSへの適用は記載を確認できない</t>
  </si>
  <si>
    <t xml:space="preserve">F1, F2, F138, F139（副）／工数据置</t>
  </si>
  <si>
    <t xml:space="preserve">WBS 5.02</t>
  </si>
  <si>
    <t xml:space="preserve">条件付き0.50人日（証跡不足時のみ）</t>
  </si>
  <si>
    <t xml:space="preserve">Drive部分を必須化（基本0.25）。その他の保存先は条件付き（0.25）</t>
  </si>
  <si>
    <t xml:space="preserve">Driveが新規導入なら、既存の復元証跡がない</t>
  </si>
  <si>
    <t xml:space="preserve">基本+0.25／条件付き-0.25</t>
  </si>
  <si>
    <t xml:space="preserve">WBS 1.11・6.05</t>
  </si>
  <si>
    <t xml:space="preserve">基本接続の確認／判断案</t>
  </si>
  <si>
    <t xml:space="preserve">1.11に業務アプリ互換チェックリスト（業務部門が実施）を追加（0.50→0.65）。6.05に大規模展開方式と初期ロット受入を追加</t>
  </si>
  <si>
    <t xml:space="preserve">ACSC：デスクトップアプリ依存は事前検証が必要。Google導入手順：手動／ゼロタッチ登録</t>
  </si>
  <si>
    <t xml:space="preserve">WBS 4.04</t>
  </si>
  <si>
    <t xml:space="preserve">1件（68項目・0.50人日・10/15～10/27）</t>
  </si>
  <si>
    <t xml:space="preserve">4.04a AD／DC／Windows（27項目・0.20）、4.04b SMB／NTLM／暗号化（22項目・0.15）、4.04c VDI／RDP／リモート／RMM（14項目・0.10）、4.04d その他（5項目・0.05）。10/15～10/28</t>
  </si>
  <si>
    <t xml:space="preserve">68項目が1行では、責任者別の遅れが見えない</t>
  </si>
  <si>
    <t xml:space="preserve">工数は合計据置</t>
  </si>
  <si>
    <t xml:space="preserve">WBS 5.07</t>
  </si>
  <si>
    <t xml:space="preserve">1件（37項目・0.25人日・11/2～11/4）</t>
  </si>
  <si>
    <t xml:space="preserve">5.07a 既存手順の回収（0.15・10/9～10/30）、5.07b Chromebook固有手順（0.10・11/4）</t>
  </si>
  <si>
    <t xml:space="preserve">既存手順の回収はChromebook試験に依存しない。早く依頼して回答期間を確保する</t>
  </si>
  <si>
    <t xml:space="preserve">廃止</t>
  </si>
  <si>
    <t xml:space="preserve">WBS 6.02</t>
  </si>
  <si>
    <t xml:space="preserve">原票の不整合確認（0.25・11/4）</t>
  </si>
  <si>
    <t xml:space="preserve">廃止（IDは欠番）。入力ルール確認を1.02へ（+0.25）、最終チェックを6.06へ統合</t>
  </si>
  <si>
    <t xml:space="preserve">6.01は10/15から入力を始めるのに、規則確認が11/4だった</t>
  </si>
  <si>
    <t xml:space="preserve">工数は1.02へ移動</t>
  </si>
  <si>
    <t xml:space="preserve">WBS 1.01・1.02・1.03</t>
  </si>
  <si>
    <t xml:space="preserve">1.01：評価対象範囲と2024年説明資料の確認依頼を初日に実施。1.02：入力ルール確認、V～X割当、証跡依頼の送付（10/9まで）、1.00→1.25。1.03：評価対象範囲・案分・会社名コードの確認</t>
  </si>
  <si>
    <t xml:space="preserve">O～Xの評価対象（導入範囲か全社か）が未確定のままR／Sを付けられない</t>
  </si>
  <si>
    <t xml:space="preserve">1.02 +0.25（6.02から移動）</t>
  </si>
  <si>
    <t xml:space="preserve">WBS 6.01</t>
  </si>
  <si>
    <t xml:space="preserve">1.50人日</t>
  </si>
  <si>
    <t xml:space="preserve">1.25人日。O～X転記用シート（O・P・V～X自動表示、チェック列）の利用を前提とした見積り</t>
  </si>
  <si>
    <t xml:space="preserve">入力と整合性確認の手作業が減る見込み。実績が合わなければ戻す</t>
  </si>
  <si>
    <t xml:space="preserve">-0.25</t>
  </si>
  <si>
    <t xml:space="preserve">修正</t>
  </si>
  <si>
    <t xml:space="preserve">WBS 依存関係</t>
  </si>
  <si>
    <t xml:space="preserve">1.06が1.04の終了前に開始、3.07が3.06の終了前に開始</t>
  </si>
  <si>
    <t xml:space="preserve">1.06→「1.01（1.04と並行）」、3.07→「1.07（3.06と並行）」</t>
  </si>
  <si>
    <t xml:space="preserve">v2の日付と依存が矛盾していた</t>
  </si>
  <si>
    <t xml:space="preserve">調整</t>
  </si>
  <si>
    <t xml:space="preserve">WBS 日程</t>
  </si>
  <si>
    <t xml:space="preserve">区間容量検査を満たすよう作業窓を調整（該当行はT列で「日程変更」と表示）</t>
  </si>
  <si>
    <t xml:space="preserve">下の検証メモを参照</t>
  </si>
  <si>
    <t xml:space="preserve">評価項目対応</t>
  </si>
  <si>
    <t xml:space="preserve">主対応WBS：4.04×68、5.07×37、F3・F8は5.01</t>
  </si>
  <si>
    <t xml:space="preserve">主対応を4.04a～d・5.07a・5.06へ再配分（107行）。関連WBS（副）、担当部署（V）・回答責任者（W）・回答者（X）・担当役割（候補）の列を追加。根拠が増える行は確認方針の文章も更新</t>
  </si>
  <si>
    <t xml:space="preserve">担当をV～Xへ直接つなげるため</t>
  </si>
  <si>
    <t xml:space="preserve">WBS表</t>
  </si>
  <si>
    <t xml:space="preserve">大項目が44/50行で空欄、フィルタなし</t>
  </si>
  <si>
    <t xml:space="preserve">大項目を全行に入力、フィルタを追加、T列にv3区分・U列に変更要約を追加、固定枠をB6に統一</t>
  </si>
  <si>
    <t xml:space="preserve">並べ替え・集計ができるようにする</t>
  </si>
  <si>
    <t xml:space="preserve">O～X転記用</t>
  </si>
  <si>
    <t xml:space="preserve">原票と同じ行順の下書きシート。F・G・M～O・R～T列は評価項目対応から式で表示。I～L列を入力し、P・Q列でチェック</t>
  </si>
  <si>
    <t xml:space="preserve">6.01の転記作業を一元化し、P・R／S・Uの不整合を自動検出する</t>
  </si>
  <si>
    <t xml:space="preserve">6.01 -0.25（上記）</t>
  </si>
  <si>
    <t xml:space="preserve">工数・日程確認</t>
  </si>
  <si>
    <t xml:space="preserve">稼働日数、SE基本工数、余裕、条件付き追加を式で集計</t>
  </si>
  <si>
    <t xml:space="preserve">日程の余裕を常に確認できるようにする</t>
  </si>
  <si>
    <t xml:space="preserve">前提・入力要領</t>
  </si>
  <si>
    <t xml:space="preserve">前提01～23、参考資料</t>
  </si>
  <si>
    <t xml:space="preserve">前提23～28を追加（旧前提23は前提29へ）。参考資料C02～C04、G18～G21を追加。前提04・05・12・16・19を更新</t>
  </si>
  <si>
    <t xml:space="preserve">変更内容と未決事項（評価対象範囲・会社名コード）を明記する</t>
  </si>
  <si>
    <t xml:space="preserve">検証メモ</t>
  </si>
  <si>
    <t xml:space="preserve">・</t>
  </si>
  <si>
    <t xml:space="preserve">区間容量検査：任意の区間について、作業窓がその区間内に完全に収まる作業の工数合計が、その区間の稼働日数以下であること（SE1名・1日1人日）。</t>
  </si>
  <si>
    <t xml:space="preserve">v2：10/7～11/4に収まる基本工数19.75人日に対し稼働19日で、0.75人日超過（条件付き追加を除いても1名では成立していなかった）。</t>
  </si>
  <si>
    <t xml:space="preserve">v3：全区間で作業量≦稼働日数。最小余裕0.00（10/7～10/14は満杯）。基本工数22.40人日／稼働23日（余裕0.60人日）。</t>
  </si>
  <si>
    <t xml:space="preserve">条件付き追加（4.07 0.50、5.02 0.25、6.04 0.75＝1.50）がすべて発生すると全体で1.15人日超過する。発生時は提出日を再判断する。</t>
  </si>
  <si>
    <t xml:space="preserve">前倒し案（未適用）：10/5・10/6を使える場合は、依頼系作業（1.01～1.04・1.09）を前倒しでき、11/10提出を維持しやすい。</t>
  </si>
  <si>
    <t xml:space="preserve">日程・工数の前後比較（作成時点のスナップショット）</t>
  </si>
  <si>
    <t xml:space="preserve">小項目（v3）</t>
  </si>
  <si>
    <t xml:space="preserve">v2：開始～終了（基本工数）</t>
  </si>
  <si>
    <t xml:space="preserve">v3：開始～終了（基本工数）</t>
  </si>
  <si>
    <t xml:space="preserve">メモ</t>
  </si>
  <si>
    <t xml:space="preserve">10/7～10/7（0.50）</t>
  </si>
  <si>
    <t xml:space="preserve">10/7～10/9（1.00）</t>
  </si>
  <si>
    <t xml:space="preserve">10/7～10/9（1.25）</t>
  </si>
  <si>
    <t xml:space="preserve">10/8～10/9（0.50）</t>
  </si>
  <si>
    <t xml:space="preserve">10/9～10/13（0.50）</t>
  </si>
  <si>
    <t xml:space="preserve">10/9～10/14（0.50）</t>
  </si>
  <si>
    <t xml:space="preserve">10/8～10/13（0.50）</t>
  </si>
  <si>
    <t xml:space="preserve">10/14～10/14（0.50）</t>
  </si>
  <si>
    <t xml:space="preserve">10/15～10/15（0.50）</t>
  </si>
  <si>
    <t xml:space="preserve">10/13～10/13（0.25）</t>
  </si>
  <si>
    <t xml:space="preserve">10/13～10/14（0.25）</t>
  </si>
  <si>
    <t xml:space="preserve">10/14～10/15（0.50）</t>
  </si>
  <si>
    <t xml:space="preserve">10/15～10/16（0.65）</t>
  </si>
  <si>
    <t xml:space="preserve">10/15～10/15（0.25）</t>
  </si>
  <si>
    <t xml:space="preserve">10/16～10/16（0.25）</t>
  </si>
  <si>
    <t xml:space="preserve">10/16～10/16（0.50）</t>
  </si>
  <si>
    <t xml:space="preserve">10/16～10/19（0.50）</t>
  </si>
  <si>
    <t xml:space="preserve">10/19～10/19（0.25）</t>
  </si>
  <si>
    <t xml:space="preserve">10/19～10/19（0.50）</t>
  </si>
  <si>
    <t xml:space="preserve">10/19～10/20（0.75）</t>
  </si>
  <si>
    <t xml:space="preserve">10/20～10/20（0.50）</t>
  </si>
  <si>
    <t xml:space="preserve">10/20～10/21（0.50）</t>
  </si>
  <si>
    <t xml:space="preserve">10/20～10/20（0.25）</t>
  </si>
  <si>
    <t xml:space="preserve">10/21～10/21（0.40）</t>
  </si>
  <si>
    <t xml:space="preserve">10/21～10/21（0.25）</t>
  </si>
  <si>
    <t xml:space="preserve">10/21～10/22（0.45）</t>
  </si>
  <si>
    <t xml:space="preserve">10/22～10/22（0.25）</t>
  </si>
  <si>
    <t xml:space="preserve">10/22～10/22（0.50）</t>
  </si>
  <si>
    <t xml:space="preserve">10/23～10/26（0.50）</t>
  </si>
  <si>
    <t xml:space="preserve">10/23～10/26（0.25）</t>
  </si>
  <si>
    <t xml:space="preserve">10/26～10/26（0.25）</t>
  </si>
  <si>
    <t xml:space="preserve">10/26～10/27（0.50）</t>
  </si>
  <si>
    <t xml:space="preserve">10/27～10/27（0.25）</t>
  </si>
  <si>
    <t xml:space="preserve">10/23～10/23（0.50）</t>
  </si>
  <si>
    <t xml:space="preserve">（旧4.04）10/15～10/27（0.50）</t>
  </si>
  <si>
    <t xml:space="preserve">10/15～10/28（0.20）</t>
  </si>
  <si>
    <t xml:space="preserve">10/15～10/28（0.15）</t>
  </si>
  <si>
    <t xml:space="preserve">10/15～10/28（0.10）</t>
  </si>
  <si>
    <t xml:space="preserve">10/15～10/28（0.05）</t>
  </si>
  <si>
    <t xml:space="preserve">10/29～10/29（0.25）</t>
  </si>
  <si>
    <t xml:space="preserve">10/29～10/29（0.50）</t>
  </si>
  <si>
    <t xml:space="preserve">10/30～10/30（0.25＋条件0.50）</t>
  </si>
  <si>
    <t xml:space="preserve">10/30～10/30（0.25）</t>
  </si>
  <si>
    <t xml:space="preserve">10/30～11/2（0.25）</t>
  </si>
  <si>
    <t xml:space="preserve">10/27～10/28（0.25）</t>
  </si>
  <si>
    <t xml:space="preserve">10/9～10/28（0.50）</t>
  </si>
  <si>
    <t xml:space="preserve">10/29～10/30（0.00＋条件0.50）</t>
  </si>
  <si>
    <t xml:space="preserve">10/29～10/30（0.25＋条件0.25）</t>
  </si>
  <si>
    <t xml:space="preserve">10/29～10/30（0.50）</t>
  </si>
  <si>
    <t xml:space="preserve">10/29～11/2（0.65）</t>
  </si>
  <si>
    <t xml:space="preserve">10/30～11/2（0.50）</t>
  </si>
  <si>
    <t xml:space="preserve">11/2～11/2（0.50）</t>
  </si>
  <si>
    <t xml:space="preserve">11/2～11/2（0.25）</t>
  </si>
  <si>
    <t xml:space="preserve">11/2～11/4（0.50）</t>
  </si>
  <si>
    <t xml:space="preserve">（旧5.07）11/2～11/4（0.25）</t>
  </si>
  <si>
    <t xml:space="preserve">10/9～10/30（0.15）</t>
  </si>
  <si>
    <t xml:space="preserve">11/4～11/4（0.10）</t>
  </si>
  <si>
    <t xml:space="preserve">10/9～11/4（0.50）</t>
  </si>
  <si>
    <t xml:space="preserve">10/9～11/5（0.50）</t>
  </si>
  <si>
    <t xml:space="preserve">10/15～11/4（1.50）</t>
  </si>
  <si>
    <t xml:space="preserve">10/15～11/6（1.25）</t>
  </si>
  <si>
    <t xml:space="preserve">6.02</t>
  </si>
  <si>
    <t xml:space="preserve">原票不整合・入力整合性確認</t>
  </si>
  <si>
    <t xml:space="preserve">11/4～11/4（0.25）</t>
  </si>
  <si>
    <t xml:space="preserve">1.02と6.06へ統合</t>
  </si>
  <si>
    <t xml:space="preserve">11/4～11/4（0.75）</t>
  </si>
  <si>
    <t xml:space="preserve">11/6～11/6（0.75）</t>
  </si>
  <si>
    <t xml:space="preserve">11/5～11/6（0.00＋条件0.75）</t>
  </si>
  <si>
    <t xml:space="preserve">11/6～11/9（0.00＋条件0.75）</t>
  </si>
  <si>
    <t xml:space="preserve">11/9～11/9（0.75）</t>
  </si>
  <si>
    <t xml:space="preserve">11/9～11/10（0.50）</t>
  </si>
  <si>
    <t xml:space="preserve">11/10～11/10（0.25）</t>
  </si>
</sst>
</file>

<file path=xl/styles.xml><?xml version="1.0" encoding="utf-8"?>
<styleSheet xmlns="http://schemas.openxmlformats.org/spreadsheetml/2006/main">
  <numFmts count="6">
    <numFmt numFmtId="164" formatCode="General"/>
    <numFmt numFmtId="165" formatCode="0.00"/>
    <numFmt numFmtId="166" formatCode="yyyy/mm/dd"/>
    <numFmt numFmtId="167" formatCode="General"/>
    <numFmt numFmtId="168" formatCode="0"/>
    <numFmt numFmtId="169" formatCode="0.0%"/>
  </numFmts>
  <fonts count="10">
    <font>
      <sz val="11"/>
      <name val="Calibri"/>
      <family val="0"/>
      <charset val="1"/>
    </font>
    <font>
      <sz val="10"/>
      <name val="Arial"/>
      <family val="0"/>
    </font>
    <font>
      <sz val="10"/>
      <name val="Arial"/>
      <family val="0"/>
    </font>
    <font>
      <sz val="10"/>
      <name val="Arial"/>
      <family val="0"/>
    </font>
    <font>
      <sz val="10"/>
      <color rgb="FF243447"/>
      <name val="Noto Sans CJK JP"/>
      <family val="0"/>
      <charset val="1"/>
    </font>
    <font>
      <b val="true"/>
      <sz val="16"/>
      <color rgb="FF17365D"/>
      <name val="Noto Sans CJK JP"/>
      <family val="0"/>
      <charset val="1"/>
    </font>
    <font>
      <b val="true"/>
      <sz val="10"/>
      <color rgb="FFFFFFFF"/>
      <name val="Noto Sans CJK JP"/>
      <family val="0"/>
      <charset val="1"/>
    </font>
    <font>
      <b val="true"/>
      <sz val="10"/>
      <color rgb="FF243447"/>
      <name val="Noto Sans CJK JP"/>
      <family val="0"/>
      <charset val="1"/>
    </font>
    <font>
      <i val="true"/>
      <sz val="10"/>
      <color rgb="FF7F7F7F"/>
      <name val="Noto Sans CJK JP"/>
      <family val="0"/>
      <charset val="1"/>
    </font>
    <font>
      <sz val="10"/>
      <color rgb="FF7F7F7F"/>
      <name val="Noto Sans CJK JP"/>
      <family val="0"/>
      <charset val="1"/>
    </font>
  </fonts>
  <fills count="10">
    <fill>
      <patternFill patternType="none"/>
    </fill>
    <fill>
      <patternFill patternType="gray125"/>
    </fill>
    <fill>
      <patternFill patternType="solid">
        <fgColor rgb="FF24466B"/>
        <bgColor rgb="FF17365D"/>
      </patternFill>
    </fill>
    <fill>
      <patternFill patternType="solid">
        <fgColor rgb="FFFFF5DB"/>
        <bgColor rgb="FFFFF2CC"/>
      </patternFill>
    </fill>
    <fill>
      <patternFill patternType="solid">
        <fgColor rgb="FFFCE4D6"/>
        <bgColor rgb="FFFCE3E3"/>
      </patternFill>
    </fill>
    <fill>
      <patternFill patternType="solid">
        <fgColor rgb="FFEDEDED"/>
        <bgColor rgb="FFF2F2F2"/>
      </patternFill>
    </fill>
    <fill>
      <patternFill patternType="solid">
        <fgColor rgb="FFDDEBF7"/>
        <bgColor rgb="FFEDEDED"/>
      </patternFill>
    </fill>
    <fill>
      <patternFill patternType="solid">
        <fgColor rgb="FFE2F0D9"/>
        <bgColor rgb="FFEDEDED"/>
      </patternFill>
    </fill>
    <fill>
      <patternFill patternType="solid">
        <fgColor rgb="FFF2F2F2"/>
        <bgColor rgb="FFEDEDED"/>
      </patternFill>
    </fill>
    <fill>
      <patternFill patternType="solid">
        <fgColor rgb="FFF8CBAD"/>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5" fontId="4" fillId="0" borderId="0" xfId="20" applyFont="true" applyBorder="false" applyAlignment="false" applyProtection="false">
      <alignment horizontal="general" vertical="bottom" textRotation="0" wrapText="false" indent="0" shrinkToFit="false"/>
      <protection locked="true" hidden="false"/>
    </xf>
    <xf numFmtId="164" fontId="6" fillId="2" borderId="0" xfId="2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4" fillId="0" borderId="0" xfId="20" applyFont="true" applyBorder="false" applyAlignment="true" applyProtection="false">
      <alignment horizontal="general" vertical="top" textRotation="0" wrapText="true" indent="0" shrinkToFit="false"/>
      <protection locked="true" hidden="false"/>
    </xf>
    <xf numFmtId="166" fontId="4" fillId="3" borderId="0" xfId="20" applyFont="true" applyBorder="false" applyAlignment="true" applyProtection="false">
      <alignment horizontal="general" vertical="top" textRotation="0" wrapText="true" indent="0" shrinkToFit="false"/>
      <protection locked="true" hidden="false"/>
    </xf>
    <xf numFmtId="165" fontId="4" fillId="0" borderId="0" xfId="20" applyFont="true" applyBorder="false" applyAlignment="true" applyProtection="false">
      <alignment horizontal="general" vertical="top" textRotation="0" wrapText="true" indent="0" shrinkToFit="false"/>
      <protection locked="true" hidden="false"/>
    </xf>
    <xf numFmtId="164" fontId="4" fillId="3" borderId="0" xfId="20" applyFont="true" applyBorder="false" applyAlignment="true" applyProtection="false">
      <alignment horizontal="general" vertical="top" textRotation="0" wrapText="true" indent="0" shrinkToFit="false"/>
      <protection locked="true" hidden="false"/>
    </xf>
    <xf numFmtId="164" fontId="4" fillId="4"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4" fillId="6" borderId="0" xfId="0" applyFont="true" applyBorder="false" applyAlignment="true" applyProtection="false">
      <alignment horizontal="center" vertical="top" textRotation="0" wrapText="true" indent="0" shrinkToFit="false"/>
      <protection locked="true" hidden="false"/>
    </xf>
    <xf numFmtId="164" fontId="4" fillId="7" borderId="0" xfId="0" applyFont="true" applyBorder="false" applyAlignment="true" applyProtection="false">
      <alignment horizontal="center" vertical="top" textRotation="0" wrapText="true" indent="0" shrinkToFit="false"/>
      <protection locked="true" hidden="false"/>
    </xf>
    <xf numFmtId="166" fontId="4" fillId="3" borderId="0" xfId="0" applyFont="true" applyBorder="false" applyAlignment="true" applyProtection="false">
      <alignment horizontal="general" vertical="top" textRotation="0" wrapText="true" indent="0" shrinkToFit="false"/>
      <protection locked="true" hidden="false"/>
    </xf>
    <xf numFmtId="165" fontId="4" fillId="0"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true" applyProtection="false">
      <alignment horizontal="general" vertical="top" textRotation="0" wrapText="true" indent="0" shrinkToFit="false"/>
      <protection locked="true" hidden="false"/>
    </xf>
    <xf numFmtId="164" fontId="9" fillId="8" borderId="0" xfId="0" applyFont="true" applyBorder="false" applyAlignment="true" applyProtection="false">
      <alignment horizontal="center" vertical="top" textRotation="0" wrapText="true" indent="0" shrinkToFit="false"/>
      <protection locked="true" hidden="false"/>
    </xf>
    <xf numFmtId="164" fontId="4" fillId="3" borderId="0" xfId="0" applyFont="true" applyBorder="false" applyAlignment="true" applyProtection="false">
      <alignment horizontal="center" vertical="top" textRotation="0" wrapText="true" indent="0" shrinkToFit="false"/>
      <protection locked="true" hidden="false"/>
    </xf>
    <xf numFmtId="167" fontId="4" fillId="0" borderId="0" xfId="0" applyFont="true" applyBorder="false" applyAlignment="true" applyProtection="false">
      <alignment horizontal="center" vertical="top" textRotation="0" wrapText="true" indent="0" shrinkToFit="false"/>
      <protection locked="true" hidden="false"/>
    </xf>
    <xf numFmtId="167" fontId="9" fillId="0"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general" vertical="top" textRotation="0" wrapText="true" indent="0" shrinkToFit="false"/>
      <protection locked="true" hidden="false"/>
    </xf>
    <xf numFmtId="169"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4" fillId="9" borderId="0" xfId="0" applyFont="true" applyBorder="false" applyAlignment="true" applyProtection="false">
      <alignment horizontal="center"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8">
    <dxf>
      <fill>
        <patternFill patternType="solid">
          <fgColor rgb="FF24466B"/>
          <bgColor rgb="FF000000"/>
        </patternFill>
      </fill>
    </dxf>
    <dxf>
      <fill>
        <patternFill patternType="solid">
          <bgColor rgb="FF000000"/>
        </patternFill>
      </fill>
    </dxf>
    <dxf>
      <fill>
        <patternFill patternType="solid">
          <fgColor rgb="FF243447"/>
          <bgColor rgb="FF000000"/>
        </patternFill>
      </fill>
    </dxf>
    <dxf>
      <fill>
        <patternFill patternType="solid">
          <fgColor rgb="FFFFFFFF"/>
          <bgColor rgb="FF000000"/>
        </patternFill>
      </fill>
    </dxf>
    <dxf>
      <fill>
        <patternFill patternType="solid">
          <fgColor rgb="FFFFF5DB"/>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EDEDED"/>
          <bgColor rgb="FF000000"/>
        </patternFill>
      </fill>
    </dxf>
    <dxf>
      <fill>
        <patternFill patternType="solid">
          <fgColor rgb="FFFCE4D6"/>
          <bgColor rgb="FF000000"/>
        </patternFill>
      </fill>
    </dxf>
    <dxf>
      <font>
        <color rgb="FF9C1C25"/>
      </font>
      <fill>
        <patternFill>
          <bgColor rgb="FFFCE3E3"/>
        </patternFill>
      </fill>
    </dxf>
    <dxf>
      <fill>
        <patternFill patternType="solid">
          <fgColor rgb="FFF2F2F2"/>
          <bgColor rgb="FF000000"/>
        </patternFill>
      </fill>
    </dxf>
    <dxf>
      <fill>
        <patternFill patternType="solid">
          <fgColor rgb="FF7F7F7F"/>
          <bgColor rgb="FF000000"/>
        </patternFill>
      </fill>
    </dxf>
    <dxf>
      <fill>
        <patternFill patternType="solid">
          <fgColor rgb="FFFFF2CC"/>
          <bgColor rgb="FF000000"/>
        </patternFill>
      </fill>
    </dxf>
    <dxf>
      <fill>
        <patternFill patternType="solid">
          <fgColor rgb="FFFCE3E3"/>
          <bgColor rgb="FF000000"/>
        </patternFill>
      </fill>
    </dxf>
    <dxf>
      <fill>
        <patternFill patternType="solid">
          <fgColor rgb="FF9C1C25"/>
          <bgColor rgb="FF000000"/>
        </patternFill>
      </fill>
    </dxf>
    <dxf>
      <font>
        <name val="Noto Sans CJK JP"/>
        <charset val="1"/>
        <family val="0"/>
        <b val="1"/>
        <color rgb="FF9C1C25"/>
        <sz val="10"/>
      </font>
      <fill>
        <patternFill>
          <bgColor rgb="FFFCE3E3"/>
        </patternFill>
      </fill>
    </dxf>
    <dxf>
      <font>
        <name val="Noto Sans CJK JP"/>
        <charset val="1"/>
        <family val="0"/>
        <color rgb="FF2E7D32"/>
        <sz val="10"/>
      </font>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5DB"/>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2F2"/>
      <rgbColor rgb="FFE2F0D9"/>
      <rgbColor rgb="FFFFF2CC"/>
      <rgbColor rgb="FFFCE4D6"/>
      <rgbColor rgb="FFFCE3E3"/>
      <rgbColor rgb="FFCC99FF"/>
      <rgbColor rgb="FFF8CBAD"/>
      <rgbColor rgb="FF3366FF"/>
      <rgbColor rgb="FF33CCCC"/>
      <rgbColor rgb="FF99CC00"/>
      <rgbColor rgb="FFFFCC00"/>
      <rgbColor rgb="FFFF9900"/>
      <rgbColor rgb="FFFF6600"/>
      <rgbColor rgb="FF666699"/>
      <rgbColor rgb="FF969696"/>
      <rgbColor rgb="FF17365D"/>
      <rgbColor rgb="FF2E7D32"/>
      <rgbColor rgb="FF003300"/>
      <rgbColor rgb="FF333300"/>
      <rgbColor rgb="FF9C1C25"/>
      <rgbColor rgb="FF993366"/>
      <rgbColor rgb="FF24466B"/>
      <rgbColor rgb="FF2434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Guidance" displayName="Guidance" ref="A5:E50" headerRowCount="1" totalsRowCount="0" totalsRowShown="0">
  <tableColumns count="5">
    <tableColumn id="1" name="ID"/>
    <tableColumn id="2" name="項目・資料名"/>
    <tableColumn id="3" name="内容・適用上の注意"/>
    <tableColumn id="4" name="出典・URL"/>
    <tableColumn id="5" name="確認日"/>
  </tableColumns>
</table>
</file>

<file path=xl/tables/table2.xml><?xml version="1.0" encoding="utf-8"?>
<table xmlns="http://schemas.openxmlformats.org/spreadsheetml/2006/main" id="2" name="RequirementMap" displayName="RequirementMap" ref="A5:L236" headerRowCount="1" totalsRowCount="0" totalsRowShown="0">
  <tableColumns count="12">
    <tableColumn id="1" name="原票行"/>
    <tableColumn id="2" name="枝番号"/>
    <tableColumn id="3" name="CPG ID"/>
    <tableColumn id="4" name="原票チェック観点"/>
    <tableColumn id="5" name="原票チェック内容"/>
    <tableColumn id="6" name="主対応WBS"/>
    <tableColumn id="7" name="評価方法（案）"/>
    <tableColumn id="8" name="Chromebookでの確認方針（案）"/>
    <tableColumn id="9" name="適用性（確認用）"/>
    <tableColumn id="10" name="担当部署（原票V列）"/>
    <tableColumn id="11" name="証跡・試験ID"/>
    <tableColumn id="12" name="判断理由・未解決事項"/>
  </tableColumns>
</table>
</file>

<file path=xl/tables/table3.xml><?xml version="1.0" encoding="utf-8"?>
<table xmlns="http://schemas.openxmlformats.org/spreadsheetml/2006/main" id="3" name="WbsTasks" displayName="WbsTasks" ref="A5:S55" headerRowCount="1" totalsRowCount="0" totalsRowShown="0">
  <tableColumns count="19">
    <tableColumn id="1" name="WBS ID"/>
    <tableColumn id="2" name="大項目"/>
    <tableColumn id="3" name="中項目"/>
    <tableColumn id="4" name="小項目"/>
    <tableColumn id="5" name="実施内容・確認手順"/>
    <tableColumn id="6" name="完了条件"/>
    <tableColumn id="7" name="証跡・成果物"/>
    <tableColumn id="8" name="評価方法"/>
    <tableColumn id="9" name="主対応枝番号（F列）"/>
    <tableColumn id="10" name="開始予定"/>
    <tableColumn id="11" name="終了予定"/>
    <tableColumn id="12" name="基本工数（人日）"/>
    <tableColumn id="13" name="前提・依存WBS"/>
    <tableColumn id="14" name="主担当（案）"/>
    <tableColumn id="15" name="協力先（案）"/>
    <tableColumn id="16" name="状態"/>
    <tableColumn id="17" name="参考資料ID"/>
    <tableColumn id="18" name="実施区分"/>
    <tableColumn id="19" name="追加工数（人日）"/>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466B"/>
    <pageSetUpPr fitToPage="true"/>
  </sheetPr>
  <dimension ref="A1:U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52" activeCellId="0" sqref="E52"/>
    </sheetView>
  </sheetViews>
  <sheetFormatPr defaultColWidth="8.83203125" defaultRowHeight="13.5" zeroHeight="false" outlineLevelRow="0" outlineLevelCol="0"/>
  <cols>
    <col collapsed="false" customWidth="true" hidden="false" outlineLevel="0" max="1" min="1" style="0" width="10"/>
    <col collapsed="false" customWidth="true" hidden="false" outlineLevel="0" max="2" min="2" style="0" width="22.67"/>
    <col collapsed="false" customWidth="true" hidden="false" outlineLevel="0" max="3" min="3" style="0" width="18"/>
    <col collapsed="false" customWidth="true" hidden="false" outlineLevel="0" max="4" min="4" style="0" width="30"/>
    <col collapsed="false" customWidth="true" hidden="false" outlineLevel="0" max="5" min="5" style="0" width="62"/>
    <col collapsed="false" customWidth="true" hidden="false" outlineLevel="0" max="6" min="6" style="0" width="52"/>
    <col collapsed="false" customWidth="true" hidden="false" outlineLevel="0" max="7" min="7" style="0" width="30"/>
    <col collapsed="false" customWidth="true" hidden="false" outlineLevel="0" max="8" min="8" style="0" width="23"/>
    <col collapsed="false" customWidth="true" hidden="false" outlineLevel="0" max="9" min="9" style="0" width="27"/>
    <col collapsed="false" customWidth="true" hidden="false" outlineLevel="0" max="11" min="10" style="0" width="13"/>
    <col collapsed="false" customWidth="true" hidden="false" outlineLevel="0" max="12" min="12" style="0" width="14"/>
    <col collapsed="false" customWidth="true" hidden="false" outlineLevel="0" max="13" min="13" style="0" width="20"/>
    <col collapsed="false" customWidth="true" hidden="false" outlineLevel="0" max="14" min="14" style="0" width="24"/>
    <col collapsed="false" customWidth="true" hidden="false" outlineLevel="0" max="15" min="15" style="0" width="28"/>
    <col collapsed="false" customWidth="true" hidden="false" outlineLevel="0" max="16" min="16" style="0" width="17"/>
    <col collapsed="false" customWidth="true" hidden="false" outlineLevel="0" max="17" min="17" style="0" width="18"/>
    <col collapsed="false" customWidth="true" hidden="false" outlineLevel="0" max="18" min="18" style="0" width="24"/>
    <col collapsed="false" customWidth="true" hidden="false" outlineLevel="0" max="19" min="19" style="0" width="14"/>
    <col collapsed="false" customWidth="true" hidden="false" outlineLevel="0" max="20" min="20" style="0" width="11"/>
    <col collapsed="false" customWidth="true" hidden="false" outlineLevel="0" max="21" min="21" style="0" width="46"/>
  </cols>
  <sheetData>
    <row r="1" customFormat="false" ht="13.5" hidden="false" customHeight="false" outlineLevel="0" collapsed="false">
      <c r="A1" s="1"/>
      <c r="B1" s="1"/>
      <c r="C1" s="1"/>
      <c r="D1" s="1"/>
      <c r="E1" s="1"/>
      <c r="F1" s="1"/>
      <c r="G1" s="1"/>
      <c r="H1" s="1"/>
      <c r="I1" s="1"/>
      <c r="J1" s="1"/>
      <c r="K1" s="1"/>
      <c r="L1" s="1"/>
      <c r="M1" s="1"/>
      <c r="N1" s="1"/>
      <c r="O1" s="1"/>
      <c r="P1" s="1"/>
      <c r="Q1" s="1"/>
      <c r="R1" s="1"/>
      <c r="S1" s="1"/>
    </row>
    <row r="2" customFormat="false" ht="21" hidden="false" customHeight="true" outlineLevel="0" collapsed="false">
      <c r="A2" s="2" t="s">
        <v>0</v>
      </c>
      <c r="B2" s="1"/>
      <c r="C2" s="1"/>
      <c r="D2" s="1"/>
      <c r="E2" s="1"/>
      <c r="F2" s="1"/>
      <c r="G2" s="1"/>
      <c r="H2" s="1"/>
      <c r="I2" s="1"/>
      <c r="J2" s="1"/>
      <c r="K2" s="1"/>
      <c r="L2" s="1"/>
      <c r="M2" s="1"/>
      <c r="N2" s="1"/>
      <c r="O2" s="1"/>
      <c r="P2" s="1"/>
      <c r="Q2" s="1"/>
      <c r="R2" s="1"/>
      <c r="S2" s="1"/>
    </row>
    <row r="3" customFormat="false" ht="15.65" hidden="false" customHeight="false" outlineLevel="0" collapsed="false">
      <c r="A3" s="1" t="s">
        <v>1</v>
      </c>
      <c r="B3" s="1"/>
      <c r="C3" s="1"/>
      <c r="D3" s="1"/>
      <c r="E3" s="1"/>
      <c r="F3" s="1"/>
      <c r="G3" s="1"/>
      <c r="H3" s="1"/>
      <c r="I3" s="1"/>
      <c r="J3" s="1"/>
      <c r="K3" s="1"/>
      <c r="L3" s="1"/>
      <c r="M3" s="1"/>
      <c r="N3" s="1"/>
      <c r="O3" s="1"/>
      <c r="P3" s="1"/>
      <c r="Q3" s="1"/>
      <c r="R3" s="1"/>
      <c r="S3" s="1"/>
    </row>
    <row r="4" customFormat="false" ht="13.5" hidden="false" customHeight="false" outlineLevel="0" collapsed="false">
      <c r="A4" s="1"/>
      <c r="B4" s="1"/>
      <c r="C4" s="1"/>
      <c r="D4" s="1"/>
      <c r="E4" s="1"/>
      <c r="F4" s="1"/>
      <c r="G4" s="1"/>
      <c r="H4" s="1"/>
      <c r="I4" s="1"/>
      <c r="J4" s="1" t="s">
        <v>2</v>
      </c>
      <c r="K4" s="1"/>
      <c r="L4" s="3" t="n">
        <f aca="false">SUM(L6:L59)</f>
        <v>22.4</v>
      </c>
      <c r="M4" s="1"/>
      <c r="N4" s="1"/>
      <c r="O4" s="1"/>
      <c r="P4" s="1"/>
      <c r="Q4" s="1"/>
      <c r="R4" s="1" t="s">
        <v>3</v>
      </c>
      <c r="S4" s="3" t="n">
        <f aca="false">SUM(S6:S59)</f>
        <v>1.5</v>
      </c>
    </row>
    <row r="5" customFormat="false" ht="33.75" hidden="false" customHeight="true" outlineLevel="0" collapsed="false">
      <c r="A5" s="4" t="s">
        <v>4</v>
      </c>
      <c r="B5" s="4" t="s">
        <v>5</v>
      </c>
      <c r="C5" s="4" t="s">
        <v>6</v>
      </c>
      <c r="D5" s="4" t="s">
        <v>7</v>
      </c>
      <c r="E5" s="4" t="s">
        <v>8</v>
      </c>
      <c r="F5" s="4" t="s">
        <v>9</v>
      </c>
      <c r="G5" s="4" t="s">
        <v>10</v>
      </c>
      <c r="H5" s="4" t="s">
        <v>11</v>
      </c>
      <c r="I5" s="4" t="s">
        <v>12</v>
      </c>
      <c r="J5" s="4" t="s">
        <v>13</v>
      </c>
      <c r="K5" s="4" t="s">
        <v>14</v>
      </c>
      <c r="L5" s="4" t="s">
        <v>15</v>
      </c>
      <c r="M5" s="4" t="s">
        <v>16</v>
      </c>
      <c r="N5" s="4" t="s">
        <v>17</v>
      </c>
      <c r="O5" s="4" t="s">
        <v>18</v>
      </c>
      <c r="P5" s="4" t="s">
        <v>19</v>
      </c>
      <c r="Q5" s="4" t="s">
        <v>20</v>
      </c>
      <c r="R5" s="4" t="s">
        <v>21</v>
      </c>
      <c r="S5" s="4" t="s">
        <v>22</v>
      </c>
      <c r="T5" s="5" t="s">
        <v>23</v>
      </c>
      <c r="U5" s="5" t="s">
        <v>24</v>
      </c>
    </row>
    <row r="6" customFormat="false" ht="63.75" hidden="false" customHeight="true" outlineLevel="0" collapsed="false">
      <c r="A6" s="6" t="s">
        <v>25</v>
      </c>
      <c r="B6" s="6" t="s">
        <v>26</v>
      </c>
      <c r="C6" s="6" t="s">
        <v>27</v>
      </c>
      <c r="D6" s="6" t="s">
        <v>28</v>
      </c>
      <c r="E6" s="6" t="s">
        <v>29</v>
      </c>
      <c r="F6" s="6" t="s">
        <v>30</v>
      </c>
      <c r="G6" s="6" t="s">
        <v>31</v>
      </c>
      <c r="H6" s="6" t="s">
        <v>32</v>
      </c>
      <c r="I6" s="6" t="s">
        <v>33</v>
      </c>
      <c r="J6" s="7" t="n">
        <v>46302</v>
      </c>
      <c r="K6" s="7" t="n">
        <v>46302</v>
      </c>
      <c r="L6" s="8" t="n">
        <v>0.5</v>
      </c>
      <c r="M6" s="6" t="s">
        <v>34</v>
      </c>
      <c r="N6" s="9" t="s">
        <v>35</v>
      </c>
      <c r="O6" s="9" t="s">
        <v>36</v>
      </c>
      <c r="P6" s="9" t="s">
        <v>37</v>
      </c>
      <c r="Q6" s="6" t="s">
        <v>38</v>
      </c>
      <c r="R6" s="6" t="s">
        <v>39</v>
      </c>
      <c r="S6" s="8"/>
      <c r="T6" s="10" t="s">
        <v>40</v>
      </c>
      <c r="U6" s="11" t="s">
        <v>41</v>
      </c>
    </row>
    <row r="7" customFormat="false" ht="105.75" hidden="false" customHeight="true" outlineLevel="0" collapsed="false">
      <c r="A7" s="6" t="s">
        <v>42</v>
      </c>
      <c r="B7" s="6" t="s">
        <v>26</v>
      </c>
      <c r="C7" s="6" t="s">
        <v>27</v>
      </c>
      <c r="D7" s="6" t="s">
        <v>43</v>
      </c>
      <c r="E7" s="6" t="s">
        <v>44</v>
      </c>
      <c r="F7" s="6" t="s">
        <v>45</v>
      </c>
      <c r="G7" s="6" t="s">
        <v>46</v>
      </c>
      <c r="H7" s="6" t="s">
        <v>47</v>
      </c>
      <c r="I7" s="6" t="s">
        <v>48</v>
      </c>
      <c r="J7" s="7" t="n">
        <v>46302</v>
      </c>
      <c r="K7" s="7" t="n">
        <v>46304</v>
      </c>
      <c r="L7" s="8" t="n">
        <v>1.25</v>
      </c>
      <c r="M7" s="6" t="s">
        <v>25</v>
      </c>
      <c r="N7" s="9" t="s">
        <v>35</v>
      </c>
      <c r="O7" s="9" t="s">
        <v>49</v>
      </c>
      <c r="P7" s="9" t="s">
        <v>37</v>
      </c>
      <c r="Q7" s="6" t="s">
        <v>50</v>
      </c>
      <c r="R7" s="6" t="s">
        <v>39</v>
      </c>
      <c r="S7" s="8"/>
      <c r="T7" s="10" t="s">
        <v>40</v>
      </c>
      <c r="U7" s="11" t="s">
        <v>51</v>
      </c>
    </row>
    <row r="8" customFormat="false" ht="63.75" hidden="false" customHeight="true" outlineLevel="0" collapsed="false">
      <c r="A8" s="6" t="s">
        <v>52</v>
      </c>
      <c r="B8" s="6" t="s">
        <v>26</v>
      </c>
      <c r="C8" s="6" t="s">
        <v>53</v>
      </c>
      <c r="D8" s="6" t="s">
        <v>54</v>
      </c>
      <c r="E8" s="6" t="s">
        <v>55</v>
      </c>
      <c r="F8" s="6" t="s">
        <v>56</v>
      </c>
      <c r="G8" s="6" t="s">
        <v>57</v>
      </c>
      <c r="H8" s="6" t="s">
        <v>58</v>
      </c>
      <c r="I8" s="6" t="s">
        <v>33</v>
      </c>
      <c r="J8" s="7" t="n">
        <v>46303</v>
      </c>
      <c r="K8" s="7" t="n">
        <v>46304</v>
      </c>
      <c r="L8" s="8" t="n">
        <v>0.5</v>
      </c>
      <c r="M8" s="6" t="s">
        <v>25</v>
      </c>
      <c r="N8" s="9" t="s">
        <v>35</v>
      </c>
      <c r="O8" s="9" t="s">
        <v>59</v>
      </c>
      <c r="P8" s="9" t="s">
        <v>37</v>
      </c>
      <c r="Q8" s="6" t="s">
        <v>60</v>
      </c>
      <c r="R8" s="6" t="s">
        <v>39</v>
      </c>
      <c r="S8" s="8"/>
      <c r="T8" s="10" t="s">
        <v>40</v>
      </c>
      <c r="U8" s="11" t="s">
        <v>61</v>
      </c>
    </row>
    <row r="9" customFormat="false" ht="63.75" hidden="false" customHeight="true" outlineLevel="0" collapsed="false">
      <c r="A9" s="6" t="s">
        <v>62</v>
      </c>
      <c r="B9" s="6" t="s">
        <v>26</v>
      </c>
      <c r="C9" s="6" t="s">
        <v>63</v>
      </c>
      <c r="D9" s="6" t="s">
        <v>64</v>
      </c>
      <c r="E9" s="6" t="s">
        <v>65</v>
      </c>
      <c r="F9" s="6" t="s">
        <v>66</v>
      </c>
      <c r="G9" s="6" t="s">
        <v>67</v>
      </c>
      <c r="H9" s="6" t="s">
        <v>68</v>
      </c>
      <c r="I9" s="6" t="s">
        <v>33</v>
      </c>
      <c r="J9" s="7" t="n">
        <v>46303</v>
      </c>
      <c r="K9" s="7" t="n">
        <v>46304</v>
      </c>
      <c r="L9" s="8" t="n">
        <v>0.5</v>
      </c>
      <c r="M9" s="6" t="s">
        <v>25</v>
      </c>
      <c r="N9" s="9" t="s">
        <v>35</v>
      </c>
      <c r="O9" s="9" t="s">
        <v>69</v>
      </c>
      <c r="P9" s="9" t="s">
        <v>37</v>
      </c>
      <c r="Q9" s="6" t="s">
        <v>70</v>
      </c>
      <c r="R9" s="6" t="s">
        <v>71</v>
      </c>
      <c r="S9" s="8"/>
      <c r="T9" s="10" t="s">
        <v>40</v>
      </c>
      <c r="U9" s="11" t="s">
        <v>72</v>
      </c>
    </row>
    <row r="10" customFormat="false" ht="54" hidden="false" customHeight="true" outlineLevel="0" collapsed="false">
      <c r="A10" s="6" t="s">
        <v>73</v>
      </c>
      <c r="B10" s="6" t="s">
        <v>26</v>
      </c>
      <c r="C10" s="6" t="s">
        <v>74</v>
      </c>
      <c r="D10" s="6" t="s">
        <v>75</v>
      </c>
      <c r="E10" s="6" t="s">
        <v>76</v>
      </c>
      <c r="F10" s="6" t="s">
        <v>77</v>
      </c>
      <c r="G10" s="6" t="s">
        <v>78</v>
      </c>
      <c r="H10" s="6" t="s">
        <v>32</v>
      </c>
      <c r="I10" s="6" t="s">
        <v>33</v>
      </c>
      <c r="J10" s="7" t="n">
        <v>46304</v>
      </c>
      <c r="K10" s="7" t="n">
        <v>46309</v>
      </c>
      <c r="L10" s="8" t="n">
        <v>0.5</v>
      </c>
      <c r="M10" s="6" t="s">
        <v>79</v>
      </c>
      <c r="N10" s="9" t="s">
        <v>35</v>
      </c>
      <c r="O10" s="9" t="s">
        <v>80</v>
      </c>
      <c r="P10" s="9" t="s">
        <v>37</v>
      </c>
      <c r="Q10" s="6" t="s">
        <v>81</v>
      </c>
      <c r="R10" s="6" t="s">
        <v>39</v>
      </c>
      <c r="S10" s="8"/>
      <c r="T10" s="12" t="s">
        <v>82</v>
      </c>
      <c r="U10" s="11" t="s">
        <v>83</v>
      </c>
    </row>
    <row r="11" customFormat="false" ht="54" hidden="false" customHeight="true" outlineLevel="0" collapsed="false">
      <c r="A11" s="6" t="s">
        <v>84</v>
      </c>
      <c r="B11" s="6" t="s">
        <v>26</v>
      </c>
      <c r="C11" s="6" t="s">
        <v>85</v>
      </c>
      <c r="D11" s="6" t="s">
        <v>86</v>
      </c>
      <c r="E11" s="6" t="s">
        <v>87</v>
      </c>
      <c r="F11" s="6" t="s">
        <v>88</v>
      </c>
      <c r="G11" s="6" t="s">
        <v>89</v>
      </c>
      <c r="H11" s="6" t="s">
        <v>90</v>
      </c>
      <c r="I11" s="6" t="s">
        <v>33</v>
      </c>
      <c r="J11" s="7" t="n">
        <v>46303</v>
      </c>
      <c r="K11" s="7" t="n">
        <v>46308</v>
      </c>
      <c r="L11" s="8" t="n">
        <v>0.5</v>
      </c>
      <c r="M11" s="6" t="s">
        <v>91</v>
      </c>
      <c r="N11" s="9" t="s">
        <v>35</v>
      </c>
      <c r="O11" s="9" t="s">
        <v>92</v>
      </c>
      <c r="P11" s="9" t="s">
        <v>37</v>
      </c>
      <c r="Q11" s="6" t="s">
        <v>93</v>
      </c>
      <c r="R11" s="6" t="s">
        <v>39</v>
      </c>
      <c r="S11" s="8"/>
      <c r="T11" s="12" t="s">
        <v>82</v>
      </c>
      <c r="U11" s="11" t="s">
        <v>94</v>
      </c>
    </row>
    <row r="12" customFormat="false" ht="54" hidden="false" customHeight="true" outlineLevel="0" collapsed="false">
      <c r="A12" s="6" t="s">
        <v>95</v>
      </c>
      <c r="B12" s="6" t="s">
        <v>26</v>
      </c>
      <c r="C12" s="6" t="s">
        <v>85</v>
      </c>
      <c r="D12" s="6" t="s">
        <v>96</v>
      </c>
      <c r="E12" s="6" t="s">
        <v>97</v>
      </c>
      <c r="F12" s="6" t="s">
        <v>98</v>
      </c>
      <c r="G12" s="6" t="s">
        <v>99</v>
      </c>
      <c r="H12" s="6" t="s">
        <v>100</v>
      </c>
      <c r="I12" s="6" t="s">
        <v>33</v>
      </c>
      <c r="J12" s="7" t="n">
        <v>46309</v>
      </c>
      <c r="K12" s="7" t="n">
        <v>46309</v>
      </c>
      <c r="L12" s="8" t="n">
        <v>0.5</v>
      </c>
      <c r="M12" s="6" t="s">
        <v>101</v>
      </c>
      <c r="N12" s="9" t="s">
        <v>35</v>
      </c>
      <c r="O12" s="9" t="s">
        <v>102</v>
      </c>
      <c r="P12" s="9" t="s">
        <v>37</v>
      </c>
      <c r="Q12" s="6" t="s">
        <v>103</v>
      </c>
      <c r="R12" s="6" t="s">
        <v>104</v>
      </c>
      <c r="S12" s="8"/>
      <c r="T12" s="13" t="s">
        <v>105</v>
      </c>
      <c r="U12" s="11"/>
    </row>
    <row r="13" customFormat="false" ht="54" hidden="false" customHeight="true" outlineLevel="0" collapsed="false">
      <c r="A13" s="6" t="s">
        <v>106</v>
      </c>
      <c r="B13" s="6" t="s">
        <v>26</v>
      </c>
      <c r="C13" s="6" t="s">
        <v>85</v>
      </c>
      <c r="D13" s="6" t="s">
        <v>107</v>
      </c>
      <c r="E13" s="6" t="s">
        <v>108</v>
      </c>
      <c r="F13" s="6" t="s">
        <v>109</v>
      </c>
      <c r="G13" s="6" t="s">
        <v>110</v>
      </c>
      <c r="H13" s="6" t="s">
        <v>100</v>
      </c>
      <c r="I13" s="6" t="s">
        <v>111</v>
      </c>
      <c r="J13" s="7" t="n">
        <v>46310</v>
      </c>
      <c r="K13" s="7" t="n">
        <v>46310</v>
      </c>
      <c r="L13" s="8" t="n">
        <v>0.5</v>
      </c>
      <c r="M13" s="6" t="s">
        <v>95</v>
      </c>
      <c r="N13" s="9" t="s">
        <v>35</v>
      </c>
      <c r="O13" s="9" t="s">
        <v>102</v>
      </c>
      <c r="P13" s="9" t="s">
        <v>37</v>
      </c>
      <c r="Q13" s="6" t="s">
        <v>112</v>
      </c>
      <c r="R13" s="6" t="s">
        <v>104</v>
      </c>
      <c r="S13" s="8"/>
      <c r="T13" s="12" t="s">
        <v>82</v>
      </c>
      <c r="U13" s="11" t="s">
        <v>113</v>
      </c>
    </row>
    <row r="14" customFormat="false" ht="54" hidden="false" customHeight="true" outlineLevel="0" collapsed="false">
      <c r="A14" s="6" t="s">
        <v>114</v>
      </c>
      <c r="B14" s="6" t="s">
        <v>26</v>
      </c>
      <c r="C14" s="6" t="s">
        <v>115</v>
      </c>
      <c r="D14" s="6" t="s">
        <v>116</v>
      </c>
      <c r="E14" s="6" t="s">
        <v>117</v>
      </c>
      <c r="F14" s="6" t="s">
        <v>118</v>
      </c>
      <c r="G14" s="6" t="s">
        <v>119</v>
      </c>
      <c r="H14" s="6" t="s">
        <v>120</v>
      </c>
      <c r="I14" s="6" t="s">
        <v>33</v>
      </c>
      <c r="J14" s="7" t="n">
        <v>46303</v>
      </c>
      <c r="K14" s="7" t="n">
        <v>46308</v>
      </c>
      <c r="L14" s="8" t="n">
        <v>0.5</v>
      </c>
      <c r="M14" s="6" t="s">
        <v>25</v>
      </c>
      <c r="N14" s="9" t="s">
        <v>35</v>
      </c>
      <c r="O14" s="9" t="s">
        <v>121</v>
      </c>
      <c r="P14" s="9" t="s">
        <v>37</v>
      </c>
      <c r="Q14" s="6" t="s">
        <v>122</v>
      </c>
      <c r="R14" s="6" t="s">
        <v>123</v>
      </c>
      <c r="S14" s="8"/>
      <c r="T14" s="13" t="s">
        <v>105</v>
      </c>
      <c r="U14" s="11"/>
    </row>
    <row r="15" customFormat="false" ht="54" hidden="false" customHeight="true" outlineLevel="0" collapsed="false">
      <c r="A15" s="6" t="s">
        <v>124</v>
      </c>
      <c r="B15" s="6" t="s">
        <v>26</v>
      </c>
      <c r="C15" s="6" t="s">
        <v>115</v>
      </c>
      <c r="D15" s="6" t="s">
        <v>125</v>
      </c>
      <c r="E15" s="6" t="s">
        <v>126</v>
      </c>
      <c r="F15" s="6" t="s">
        <v>127</v>
      </c>
      <c r="G15" s="6" t="s">
        <v>128</v>
      </c>
      <c r="H15" s="6" t="s">
        <v>100</v>
      </c>
      <c r="I15" s="6" t="s">
        <v>33</v>
      </c>
      <c r="J15" s="7" t="n">
        <v>46308</v>
      </c>
      <c r="K15" s="7" t="n">
        <v>46309</v>
      </c>
      <c r="L15" s="8" t="n">
        <v>0.25</v>
      </c>
      <c r="M15" s="6" t="s">
        <v>129</v>
      </c>
      <c r="N15" s="9" t="s">
        <v>35</v>
      </c>
      <c r="O15" s="9" t="s">
        <v>130</v>
      </c>
      <c r="P15" s="9" t="s">
        <v>37</v>
      </c>
      <c r="Q15" s="6" t="s">
        <v>131</v>
      </c>
      <c r="R15" s="6" t="s">
        <v>132</v>
      </c>
      <c r="S15" s="8"/>
      <c r="T15" s="12" t="s">
        <v>82</v>
      </c>
      <c r="U15" s="11" t="s">
        <v>133</v>
      </c>
    </row>
    <row r="16" customFormat="false" ht="78" hidden="false" customHeight="true" outlineLevel="0" collapsed="false">
      <c r="A16" s="6" t="s">
        <v>134</v>
      </c>
      <c r="B16" s="6" t="s">
        <v>26</v>
      </c>
      <c r="C16" s="6" t="s">
        <v>115</v>
      </c>
      <c r="D16" s="6" t="s">
        <v>135</v>
      </c>
      <c r="E16" s="6" t="s">
        <v>136</v>
      </c>
      <c r="F16" s="6" t="s">
        <v>137</v>
      </c>
      <c r="G16" s="6" t="s">
        <v>138</v>
      </c>
      <c r="H16" s="6" t="s">
        <v>100</v>
      </c>
      <c r="I16" s="6" t="s">
        <v>33</v>
      </c>
      <c r="J16" s="7" t="n">
        <v>46310</v>
      </c>
      <c r="K16" s="7" t="n">
        <v>46311</v>
      </c>
      <c r="L16" s="8" t="n">
        <v>0.65</v>
      </c>
      <c r="M16" s="6" t="s">
        <v>139</v>
      </c>
      <c r="N16" s="9" t="s">
        <v>35</v>
      </c>
      <c r="O16" s="9" t="s">
        <v>140</v>
      </c>
      <c r="P16" s="9" t="s">
        <v>37</v>
      </c>
      <c r="Q16" s="6" t="s">
        <v>141</v>
      </c>
      <c r="R16" s="6" t="s">
        <v>132</v>
      </c>
      <c r="S16" s="8"/>
      <c r="T16" s="10" t="s">
        <v>40</v>
      </c>
      <c r="U16" s="11" t="s">
        <v>142</v>
      </c>
    </row>
    <row r="17" customFormat="false" ht="54" hidden="false" customHeight="true" outlineLevel="0" collapsed="false">
      <c r="A17" s="6" t="s">
        <v>143</v>
      </c>
      <c r="B17" s="6" t="s">
        <v>144</v>
      </c>
      <c r="C17" s="6" t="s">
        <v>145</v>
      </c>
      <c r="D17" s="6" t="s">
        <v>146</v>
      </c>
      <c r="E17" s="6" t="s">
        <v>147</v>
      </c>
      <c r="F17" s="6" t="s">
        <v>148</v>
      </c>
      <c r="G17" s="6" t="s">
        <v>149</v>
      </c>
      <c r="H17" s="6" t="s">
        <v>100</v>
      </c>
      <c r="I17" s="6" t="s">
        <v>33</v>
      </c>
      <c r="J17" s="7" t="n">
        <v>46311</v>
      </c>
      <c r="K17" s="7" t="n">
        <v>46311</v>
      </c>
      <c r="L17" s="8" t="n">
        <v>0.25</v>
      </c>
      <c r="M17" s="6" t="s">
        <v>106</v>
      </c>
      <c r="N17" s="9" t="s">
        <v>35</v>
      </c>
      <c r="O17" s="9" t="s">
        <v>92</v>
      </c>
      <c r="P17" s="9" t="s">
        <v>37</v>
      </c>
      <c r="Q17" s="6" t="s">
        <v>150</v>
      </c>
      <c r="R17" s="6" t="s">
        <v>104</v>
      </c>
      <c r="S17" s="8"/>
      <c r="T17" s="12" t="s">
        <v>82</v>
      </c>
      <c r="U17" s="11" t="s">
        <v>151</v>
      </c>
    </row>
    <row r="18" customFormat="false" ht="54" hidden="false" customHeight="true" outlineLevel="0" collapsed="false">
      <c r="A18" s="6" t="s">
        <v>152</v>
      </c>
      <c r="B18" s="6" t="s">
        <v>144</v>
      </c>
      <c r="C18" s="6" t="s">
        <v>145</v>
      </c>
      <c r="D18" s="6" t="s">
        <v>153</v>
      </c>
      <c r="E18" s="6" t="s">
        <v>154</v>
      </c>
      <c r="F18" s="6" t="s">
        <v>155</v>
      </c>
      <c r="G18" s="6" t="s">
        <v>156</v>
      </c>
      <c r="H18" s="6" t="s">
        <v>100</v>
      </c>
      <c r="I18" s="6" t="s">
        <v>33</v>
      </c>
      <c r="J18" s="7" t="n">
        <v>46311</v>
      </c>
      <c r="K18" s="7" t="n">
        <v>46311</v>
      </c>
      <c r="L18" s="8" t="n">
        <v>0.25</v>
      </c>
      <c r="M18" s="6" t="s">
        <v>143</v>
      </c>
      <c r="N18" s="9" t="s">
        <v>35</v>
      </c>
      <c r="O18" s="9" t="s">
        <v>92</v>
      </c>
      <c r="P18" s="9" t="s">
        <v>37</v>
      </c>
      <c r="Q18" s="6" t="s">
        <v>157</v>
      </c>
      <c r="R18" s="6" t="s">
        <v>104</v>
      </c>
      <c r="S18" s="8"/>
      <c r="T18" s="12" t="s">
        <v>82</v>
      </c>
      <c r="U18" s="11" t="s">
        <v>151</v>
      </c>
    </row>
    <row r="19" customFormat="false" ht="63.75" hidden="false" customHeight="true" outlineLevel="0" collapsed="false">
      <c r="A19" s="6" t="s">
        <v>158</v>
      </c>
      <c r="B19" s="6" t="s">
        <v>144</v>
      </c>
      <c r="C19" s="6" t="s">
        <v>145</v>
      </c>
      <c r="D19" s="6" t="s">
        <v>159</v>
      </c>
      <c r="E19" s="6" t="s">
        <v>160</v>
      </c>
      <c r="F19" s="6" t="s">
        <v>161</v>
      </c>
      <c r="G19" s="6" t="s">
        <v>162</v>
      </c>
      <c r="H19" s="6" t="s">
        <v>163</v>
      </c>
      <c r="I19" s="6" t="s">
        <v>164</v>
      </c>
      <c r="J19" s="7" t="n">
        <v>46311</v>
      </c>
      <c r="K19" s="7" t="n">
        <v>46314</v>
      </c>
      <c r="L19" s="8" t="n">
        <v>0.5</v>
      </c>
      <c r="M19" s="6" t="s">
        <v>165</v>
      </c>
      <c r="N19" s="9" t="s">
        <v>35</v>
      </c>
      <c r="O19" s="9" t="s">
        <v>166</v>
      </c>
      <c r="P19" s="9" t="s">
        <v>37</v>
      </c>
      <c r="Q19" s="6" t="s">
        <v>167</v>
      </c>
      <c r="R19" s="6" t="s">
        <v>71</v>
      </c>
      <c r="S19" s="8"/>
      <c r="T19" s="10" t="s">
        <v>40</v>
      </c>
      <c r="U19" s="11" t="s">
        <v>168</v>
      </c>
    </row>
    <row r="20" customFormat="false" ht="54" hidden="false" customHeight="true" outlineLevel="0" collapsed="false">
      <c r="A20" s="6" t="s">
        <v>169</v>
      </c>
      <c r="B20" s="6" t="s">
        <v>144</v>
      </c>
      <c r="C20" s="6" t="s">
        <v>145</v>
      </c>
      <c r="D20" s="6" t="s">
        <v>170</v>
      </c>
      <c r="E20" s="6" t="s">
        <v>171</v>
      </c>
      <c r="F20" s="6" t="s">
        <v>172</v>
      </c>
      <c r="G20" s="6" t="s">
        <v>173</v>
      </c>
      <c r="H20" s="6" t="s">
        <v>100</v>
      </c>
      <c r="I20" s="6" t="s">
        <v>33</v>
      </c>
      <c r="J20" s="7" t="n">
        <v>46314</v>
      </c>
      <c r="K20" s="7" t="n">
        <v>46314</v>
      </c>
      <c r="L20" s="8" t="n">
        <v>0.25</v>
      </c>
      <c r="M20" s="6" t="s">
        <v>158</v>
      </c>
      <c r="N20" s="9" t="s">
        <v>35</v>
      </c>
      <c r="O20" s="9" t="s">
        <v>102</v>
      </c>
      <c r="P20" s="9" t="s">
        <v>37</v>
      </c>
      <c r="Q20" s="6" t="s">
        <v>174</v>
      </c>
      <c r="R20" s="6" t="s">
        <v>104</v>
      </c>
      <c r="S20" s="8"/>
      <c r="T20" s="10" t="s">
        <v>40</v>
      </c>
      <c r="U20" s="11" t="s">
        <v>175</v>
      </c>
    </row>
    <row r="21" customFormat="false" ht="54" hidden="false" customHeight="true" outlineLevel="0" collapsed="false">
      <c r="A21" s="6" t="s">
        <v>176</v>
      </c>
      <c r="B21" s="6" t="s">
        <v>144</v>
      </c>
      <c r="C21" s="6" t="s">
        <v>177</v>
      </c>
      <c r="D21" s="6" t="s">
        <v>178</v>
      </c>
      <c r="E21" s="6" t="s">
        <v>179</v>
      </c>
      <c r="F21" s="6" t="s">
        <v>180</v>
      </c>
      <c r="G21" s="6" t="s">
        <v>181</v>
      </c>
      <c r="H21" s="6" t="s">
        <v>163</v>
      </c>
      <c r="I21" s="6" t="s">
        <v>182</v>
      </c>
      <c r="J21" s="7" t="n">
        <v>46314</v>
      </c>
      <c r="K21" s="7" t="n">
        <v>46314</v>
      </c>
      <c r="L21" s="8" t="n">
        <v>0.5</v>
      </c>
      <c r="M21" s="6" t="s">
        <v>183</v>
      </c>
      <c r="N21" s="9" t="s">
        <v>35</v>
      </c>
      <c r="O21" s="9" t="s">
        <v>184</v>
      </c>
      <c r="P21" s="9" t="s">
        <v>37</v>
      </c>
      <c r="Q21" s="6" t="s">
        <v>185</v>
      </c>
      <c r="R21" s="6" t="s">
        <v>71</v>
      </c>
      <c r="S21" s="8"/>
      <c r="T21" s="10" t="s">
        <v>40</v>
      </c>
      <c r="U21" s="11" t="s">
        <v>186</v>
      </c>
    </row>
    <row r="22" customFormat="false" ht="91.5" hidden="false" customHeight="true" outlineLevel="0" collapsed="false">
      <c r="A22" s="6" t="s">
        <v>187</v>
      </c>
      <c r="B22" s="6" t="s">
        <v>144</v>
      </c>
      <c r="C22" s="6" t="s">
        <v>188</v>
      </c>
      <c r="D22" s="6" t="s">
        <v>189</v>
      </c>
      <c r="E22" s="6" t="s">
        <v>190</v>
      </c>
      <c r="F22" s="6" t="s">
        <v>191</v>
      </c>
      <c r="G22" s="6" t="s">
        <v>192</v>
      </c>
      <c r="H22" s="6" t="s">
        <v>193</v>
      </c>
      <c r="I22" s="6" t="s">
        <v>194</v>
      </c>
      <c r="J22" s="7" t="n">
        <v>46314</v>
      </c>
      <c r="K22" s="7" t="n">
        <v>46315</v>
      </c>
      <c r="L22" s="8" t="n">
        <v>0.75</v>
      </c>
      <c r="M22" s="6" t="s">
        <v>84</v>
      </c>
      <c r="N22" s="9" t="s">
        <v>35</v>
      </c>
      <c r="O22" s="9" t="s">
        <v>195</v>
      </c>
      <c r="P22" s="9" t="s">
        <v>37</v>
      </c>
      <c r="Q22" s="6" t="s">
        <v>196</v>
      </c>
      <c r="R22" s="6" t="s">
        <v>104</v>
      </c>
      <c r="S22" s="8"/>
      <c r="T22" s="10" t="s">
        <v>40</v>
      </c>
      <c r="U22" s="11" t="s">
        <v>197</v>
      </c>
    </row>
    <row r="23" customFormat="false" ht="54" hidden="false" customHeight="true" outlineLevel="0" collapsed="false">
      <c r="A23" s="6" t="s">
        <v>198</v>
      </c>
      <c r="B23" s="6" t="s">
        <v>144</v>
      </c>
      <c r="C23" s="6" t="s">
        <v>199</v>
      </c>
      <c r="D23" s="6" t="s">
        <v>200</v>
      </c>
      <c r="E23" s="6" t="s">
        <v>201</v>
      </c>
      <c r="F23" s="6" t="s">
        <v>202</v>
      </c>
      <c r="G23" s="6" t="s">
        <v>203</v>
      </c>
      <c r="H23" s="6" t="s">
        <v>193</v>
      </c>
      <c r="I23" s="6" t="s">
        <v>204</v>
      </c>
      <c r="J23" s="7" t="n">
        <v>46315</v>
      </c>
      <c r="K23" s="7" t="n">
        <v>46316</v>
      </c>
      <c r="L23" s="8" t="n">
        <v>0.5</v>
      </c>
      <c r="M23" s="6" t="s">
        <v>187</v>
      </c>
      <c r="N23" s="9" t="s">
        <v>35</v>
      </c>
      <c r="O23" s="9" t="s">
        <v>205</v>
      </c>
      <c r="P23" s="9" t="s">
        <v>37</v>
      </c>
      <c r="Q23" s="6" t="s">
        <v>206</v>
      </c>
      <c r="R23" s="6" t="s">
        <v>104</v>
      </c>
      <c r="S23" s="8"/>
      <c r="T23" s="12" t="s">
        <v>82</v>
      </c>
      <c r="U23" s="11" t="s">
        <v>207</v>
      </c>
    </row>
    <row r="24" customFormat="false" ht="63.75" hidden="false" customHeight="true" outlineLevel="0" collapsed="false">
      <c r="A24" s="6" t="s">
        <v>208</v>
      </c>
      <c r="B24" s="6" t="s">
        <v>209</v>
      </c>
      <c r="C24" s="6" t="s">
        <v>210</v>
      </c>
      <c r="D24" s="6" t="s">
        <v>211</v>
      </c>
      <c r="E24" s="6" t="s">
        <v>212</v>
      </c>
      <c r="F24" s="6" t="s">
        <v>213</v>
      </c>
      <c r="G24" s="6" t="s">
        <v>214</v>
      </c>
      <c r="H24" s="6" t="s">
        <v>100</v>
      </c>
      <c r="I24" s="6" t="s">
        <v>33</v>
      </c>
      <c r="J24" s="7" t="n">
        <v>46316</v>
      </c>
      <c r="K24" s="7" t="n">
        <v>46316</v>
      </c>
      <c r="L24" s="8" t="n">
        <v>0.4</v>
      </c>
      <c r="M24" s="6" t="s">
        <v>106</v>
      </c>
      <c r="N24" s="9" t="s">
        <v>35</v>
      </c>
      <c r="O24" s="9" t="s">
        <v>102</v>
      </c>
      <c r="P24" s="9" t="s">
        <v>37</v>
      </c>
      <c r="Q24" s="6" t="s">
        <v>215</v>
      </c>
      <c r="R24" s="6" t="s">
        <v>104</v>
      </c>
      <c r="S24" s="8"/>
      <c r="T24" s="10" t="s">
        <v>40</v>
      </c>
      <c r="U24" s="11" t="s">
        <v>216</v>
      </c>
    </row>
    <row r="25" customFormat="false" ht="54" hidden="false" customHeight="true" outlineLevel="0" collapsed="false">
      <c r="A25" s="6" t="s">
        <v>217</v>
      </c>
      <c r="B25" s="6" t="s">
        <v>209</v>
      </c>
      <c r="C25" s="6" t="s">
        <v>210</v>
      </c>
      <c r="D25" s="6" t="s">
        <v>218</v>
      </c>
      <c r="E25" s="6" t="s">
        <v>219</v>
      </c>
      <c r="F25" s="6" t="s">
        <v>220</v>
      </c>
      <c r="G25" s="6" t="s">
        <v>221</v>
      </c>
      <c r="H25" s="6" t="s">
        <v>222</v>
      </c>
      <c r="I25" s="6" t="s">
        <v>223</v>
      </c>
      <c r="J25" s="7" t="n">
        <v>46316</v>
      </c>
      <c r="K25" s="7" t="n">
        <v>46316</v>
      </c>
      <c r="L25" s="8" t="n">
        <v>0.25</v>
      </c>
      <c r="M25" s="6" t="s">
        <v>208</v>
      </c>
      <c r="N25" s="9" t="s">
        <v>35</v>
      </c>
      <c r="O25" s="9" t="s">
        <v>80</v>
      </c>
      <c r="P25" s="9" t="s">
        <v>37</v>
      </c>
      <c r="Q25" s="6" t="s">
        <v>224</v>
      </c>
      <c r="R25" s="6" t="s">
        <v>71</v>
      </c>
      <c r="S25" s="8"/>
      <c r="T25" s="13" t="s">
        <v>105</v>
      </c>
      <c r="U25" s="11"/>
    </row>
    <row r="26" customFormat="false" ht="63.75" hidden="false" customHeight="true" outlineLevel="0" collapsed="false">
      <c r="A26" s="6" t="s">
        <v>225</v>
      </c>
      <c r="B26" s="6" t="s">
        <v>209</v>
      </c>
      <c r="C26" s="6" t="s">
        <v>226</v>
      </c>
      <c r="D26" s="6" t="s">
        <v>227</v>
      </c>
      <c r="E26" s="6" t="s">
        <v>228</v>
      </c>
      <c r="F26" s="6" t="s">
        <v>229</v>
      </c>
      <c r="G26" s="6" t="s">
        <v>230</v>
      </c>
      <c r="H26" s="6" t="s">
        <v>100</v>
      </c>
      <c r="I26" s="6" t="s">
        <v>231</v>
      </c>
      <c r="J26" s="7" t="n">
        <v>46316</v>
      </c>
      <c r="K26" s="7" t="n">
        <v>46317</v>
      </c>
      <c r="L26" s="8" t="n">
        <v>0.45</v>
      </c>
      <c r="M26" s="6" t="s">
        <v>106</v>
      </c>
      <c r="N26" s="9" t="s">
        <v>35</v>
      </c>
      <c r="O26" s="9" t="s">
        <v>92</v>
      </c>
      <c r="P26" s="9" t="s">
        <v>37</v>
      </c>
      <c r="Q26" s="6" t="s">
        <v>232</v>
      </c>
      <c r="R26" s="6" t="s">
        <v>104</v>
      </c>
      <c r="S26" s="8"/>
      <c r="T26" s="10" t="s">
        <v>40</v>
      </c>
      <c r="U26" s="11" t="s">
        <v>233</v>
      </c>
    </row>
    <row r="27" customFormat="false" ht="54" hidden="false" customHeight="true" outlineLevel="0" collapsed="false">
      <c r="A27" s="6" t="s">
        <v>234</v>
      </c>
      <c r="B27" s="6" t="s">
        <v>209</v>
      </c>
      <c r="C27" s="6" t="s">
        <v>226</v>
      </c>
      <c r="D27" s="6" t="s">
        <v>235</v>
      </c>
      <c r="E27" s="6" t="s">
        <v>236</v>
      </c>
      <c r="F27" s="6" t="s">
        <v>237</v>
      </c>
      <c r="G27" s="6" t="s">
        <v>238</v>
      </c>
      <c r="H27" s="6" t="s">
        <v>163</v>
      </c>
      <c r="I27" s="6" t="s">
        <v>33</v>
      </c>
      <c r="J27" s="7" t="n">
        <v>46317</v>
      </c>
      <c r="K27" s="7" t="n">
        <v>46317</v>
      </c>
      <c r="L27" s="8" t="n">
        <v>0.25</v>
      </c>
      <c r="M27" s="6" t="s">
        <v>239</v>
      </c>
      <c r="N27" s="9" t="s">
        <v>35</v>
      </c>
      <c r="O27" s="9" t="s">
        <v>102</v>
      </c>
      <c r="P27" s="9" t="s">
        <v>37</v>
      </c>
      <c r="Q27" s="6" t="s">
        <v>240</v>
      </c>
      <c r="R27" s="6" t="s">
        <v>71</v>
      </c>
      <c r="S27" s="8"/>
      <c r="T27" s="10" t="s">
        <v>40</v>
      </c>
      <c r="U27" s="11" t="s">
        <v>241</v>
      </c>
    </row>
    <row r="28" customFormat="false" ht="54" hidden="false" customHeight="true" outlineLevel="0" collapsed="false">
      <c r="A28" s="6" t="s">
        <v>242</v>
      </c>
      <c r="B28" s="6" t="s">
        <v>209</v>
      </c>
      <c r="C28" s="6" t="s">
        <v>226</v>
      </c>
      <c r="D28" s="6" t="s">
        <v>243</v>
      </c>
      <c r="E28" s="6" t="s">
        <v>244</v>
      </c>
      <c r="F28" s="6" t="s">
        <v>245</v>
      </c>
      <c r="G28" s="6" t="s">
        <v>246</v>
      </c>
      <c r="H28" s="6" t="s">
        <v>100</v>
      </c>
      <c r="I28" s="6" t="s">
        <v>247</v>
      </c>
      <c r="J28" s="7" t="n">
        <v>46317</v>
      </c>
      <c r="K28" s="7" t="n">
        <v>46317</v>
      </c>
      <c r="L28" s="8" t="n">
        <v>0.5</v>
      </c>
      <c r="M28" s="6" t="s">
        <v>248</v>
      </c>
      <c r="N28" s="9" t="s">
        <v>35</v>
      </c>
      <c r="O28" s="9" t="s">
        <v>92</v>
      </c>
      <c r="P28" s="9" t="s">
        <v>37</v>
      </c>
      <c r="Q28" s="6" t="s">
        <v>249</v>
      </c>
      <c r="R28" s="6" t="s">
        <v>104</v>
      </c>
      <c r="S28" s="8"/>
      <c r="T28" s="13" t="s">
        <v>105</v>
      </c>
      <c r="U28" s="11"/>
    </row>
    <row r="29" customFormat="false" ht="54" hidden="false" customHeight="true" outlineLevel="0" collapsed="false">
      <c r="A29" s="6" t="s">
        <v>250</v>
      </c>
      <c r="B29" s="6" t="s">
        <v>209</v>
      </c>
      <c r="C29" s="6" t="s">
        <v>251</v>
      </c>
      <c r="D29" s="6" t="s">
        <v>252</v>
      </c>
      <c r="E29" s="6" t="s">
        <v>253</v>
      </c>
      <c r="F29" s="6" t="s">
        <v>254</v>
      </c>
      <c r="G29" s="6" t="s">
        <v>255</v>
      </c>
      <c r="H29" s="6" t="s">
        <v>100</v>
      </c>
      <c r="I29" s="6" t="s">
        <v>33</v>
      </c>
      <c r="J29" s="7" t="n">
        <v>46318</v>
      </c>
      <c r="K29" s="7" t="n">
        <v>46321</v>
      </c>
      <c r="L29" s="8" t="n">
        <v>0.5</v>
      </c>
      <c r="M29" s="6" t="s">
        <v>256</v>
      </c>
      <c r="N29" s="9" t="s">
        <v>35</v>
      </c>
      <c r="O29" s="9" t="s">
        <v>102</v>
      </c>
      <c r="P29" s="9" t="s">
        <v>37</v>
      </c>
      <c r="Q29" s="6" t="s">
        <v>257</v>
      </c>
      <c r="R29" s="6" t="s">
        <v>104</v>
      </c>
      <c r="S29" s="8"/>
      <c r="T29" s="13" t="s">
        <v>105</v>
      </c>
      <c r="U29" s="11"/>
    </row>
    <row r="30" customFormat="false" ht="54" hidden="false" customHeight="true" outlineLevel="0" collapsed="false">
      <c r="A30" s="6" t="s">
        <v>258</v>
      </c>
      <c r="B30" s="6" t="s">
        <v>209</v>
      </c>
      <c r="C30" s="6" t="s">
        <v>251</v>
      </c>
      <c r="D30" s="6" t="s">
        <v>259</v>
      </c>
      <c r="E30" s="6" t="s">
        <v>260</v>
      </c>
      <c r="F30" s="6" t="s">
        <v>261</v>
      </c>
      <c r="G30" s="6" t="s">
        <v>262</v>
      </c>
      <c r="H30" s="6" t="s">
        <v>263</v>
      </c>
      <c r="I30" s="6" t="s">
        <v>264</v>
      </c>
      <c r="J30" s="7" t="n">
        <v>46318</v>
      </c>
      <c r="K30" s="7" t="n">
        <v>46321</v>
      </c>
      <c r="L30" s="8" t="n">
        <v>0.25</v>
      </c>
      <c r="M30" s="6" t="s">
        <v>265</v>
      </c>
      <c r="N30" s="9" t="s">
        <v>35</v>
      </c>
      <c r="O30" s="9" t="s">
        <v>80</v>
      </c>
      <c r="P30" s="9" t="s">
        <v>37</v>
      </c>
      <c r="Q30" s="6" t="s">
        <v>266</v>
      </c>
      <c r="R30" s="6" t="s">
        <v>71</v>
      </c>
      <c r="S30" s="8"/>
      <c r="T30" s="12" t="s">
        <v>82</v>
      </c>
      <c r="U30" s="11" t="s">
        <v>267</v>
      </c>
    </row>
    <row r="31" customFormat="false" ht="54" hidden="false" customHeight="true" outlineLevel="0" collapsed="false">
      <c r="A31" s="6" t="s">
        <v>268</v>
      </c>
      <c r="B31" s="6" t="s">
        <v>209</v>
      </c>
      <c r="C31" s="6" t="s">
        <v>269</v>
      </c>
      <c r="D31" s="6" t="s">
        <v>270</v>
      </c>
      <c r="E31" s="6" t="s">
        <v>271</v>
      </c>
      <c r="F31" s="6" t="s">
        <v>272</v>
      </c>
      <c r="G31" s="6" t="s">
        <v>273</v>
      </c>
      <c r="H31" s="6" t="s">
        <v>193</v>
      </c>
      <c r="I31" s="6" t="s">
        <v>274</v>
      </c>
      <c r="J31" s="7" t="n">
        <v>46321</v>
      </c>
      <c r="K31" s="7" t="n">
        <v>46321</v>
      </c>
      <c r="L31" s="8" t="n">
        <v>0.25</v>
      </c>
      <c r="M31" s="6" t="s">
        <v>275</v>
      </c>
      <c r="N31" s="9" t="s">
        <v>35</v>
      </c>
      <c r="O31" s="9" t="s">
        <v>276</v>
      </c>
      <c r="P31" s="9" t="s">
        <v>37</v>
      </c>
      <c r="Q31" s="6" t="s">
        <v>81</v>
      </c>
      <c r="R31" s="6" t="s">
        <v>104</v>
      </c>
      <c r="S31" s="8"/>
      <c r="T31" s="13" t="s">
        <v>105</v>
      </c>
      <c r="U31" s="11"/>
    </row>
    <row r="32" customFormat="false" ht="54" hidden="false" customHeight="true" outlineLevel="0" collapsed="false">
      <c r="A32" s="6" t="s">
        <v>277</v>
      </c>
      <c r="B32" s="6" t="s">
        <v>209</v>
      </c>
      <c r="C32" s="6" t="s">
        <v>278</v>
      </c>
      <c r="D32" s="6" t="s">
        <v>279</v>
      </c>
      <c r="E32" s="6" t="s">
        <v>280</v>
      </c>
      <c r="F32" s="6" t="s">
        <v>281</v>
      </c>
      <c r="G32" s="6" t="s">
        <v>282</v>
      </c>
      <c r="H32" s="6" t="s">
        <v>283</v>
      </c>
      <c r="I32" s="6" t="s">
        <v>284</v>
      </c>
      <c r="J32" s="7" t="n">
        <v>46321</v>
      </c>
      <c r="K32" s="7" t="n">
        <v>46322</v>
      </c>
      <c r="L32" s="8" t="n">
        <v>0.5</v>
      </c>
      <c r="M32" s="6" t="s">
        <v>285</v>
      </c>
      <c r="N32" s="9" t="s">
        <v>35</v>
      </c>
      <c r="O32" s="9" t="s">
        <v>286</v>
      </c>
      <c r="P32" s="9" t="s">
        <v>37</v>
      </c>
      <c r="Q32" s="6" t="s">
        <v>287</v>
      </c>
      <c r="R32" s="6" t="s">
        <v>288</v>
      </c>
      <c r="S32" s="8"/>
      <c r="T32" s="13" t="s">
        <v>105</v>
      </c>
      <c r="U32" s="11"/>
    </row>
    <row r="33" customFormat="false" ht="54" hidden="false" customHeight="true" outlineLevel="0" collapsed="false">
      <c r="A33" s="6" t="s">
        <v>289</v>
      </c>
      <c r="B33" s="6" t="s">
        <v>290</v>
      </c>
      <c r="C33" s="6" t="s">
        <v>291</v>
      </c>
      <c r="D33" s="6" t="s">
        <v>292</v>
      </c>
      <c r="E33" s="6" t="s">
        <v>293</v>
      </c>
      <c r="F33" s="6" t="s">
        <v>294</v>
      </c>
      <c r="G33" s="6" t="s">
        <v>295</v>
      </c>
      <c r="H33" s="6" t="s">
        <v>100</v>
      </c>
      <c r="I33" s="6" t="s">
        <v>296</v>
      </c>
      <c r="J33" s="7" t="n">
        <v>46322</v>
      </c>
      <c r="K33" s="7" t="n">
        <v>46322</v>
      </c>
      <c r="L33" s="8" t="n">
        <v>0.25</v>
      </c>
      <c r="M33" s="6" t="s">
        <v>106</v>
      </c>
      <c r="N33" s="9" t="s">
        <v>35</v>
      </c>
      <c r="O33" s="9" t="s">
        <v>80</v>
      </c>
      <c r="P33" s="9" t="s">
        <v>37</v>
      </c>
      <c r="Q33" s="6" t="s">
        <v>297</v>
      </c>
      <c r="R33" s="6" t="s">
        <v>104</v>
      </c>
      <c r="S33" s="8"/>
      <c r="T33" s="10" t="s">
        <v>40</v>
      </c>
      <c r="U33" s="11" t="s">
        <v>298</v>
      </c>
    </row>
    <row r="34" customFormat="false" ht="78" hidden="false" customHeight="true" outlineLevel="0" collapsed="false">
      <c r="A34" s="6" t="s">
        <v>299</v>
      </c>
      <c r="B34" s="6" t="s">
        <v>290</v>
      </c>
      <c r="C34" s="6" t="s">
        <v>291</v>
      </c>
      <c r="D34" s="6" t="s">
        <v>300</v>
      </c>
      <c r="E34" s="6" t="s">
        <v>301</v>
      </c>
      <c r="F34" s="6" t="s">
        <v>302</v>
      </c>
      <c r="G34" s="6" t="s">
        <v>303</v>
      </c>
      <c r="H34" s="6" t="s">
        <v>163</v>
      </c>
      <c r="I34" s="6" t="s">
        <v>304</v>
      </c>
      <c r="J34" s="7" t="n">
        <v>46322</v>
      </c>
      <c r="K34" s="7" t="n">
        <v>46322</v>
      </c>
      <c r="L34" s="8" t="n">
        <v>0.25</v>
      </c>
      <c r="M34" s="6" t="s">
        <v>289</v>
      </c>
      <c r="N34" s="9" t="s">
        <v>35</v>
      </c>
      <c r="O34" s="9" t="s">
        <v>80</v>
      </c>
      <c r="P34" s="9" t="s">
        <v>37</v>
      </c>
      <c r="Q34" s="6" t="s">
        <v>305</v>
      </c>
      <c r="R34" s="6" t="s">
        <v>71</v>
      </c>
      <c r="S34" s="8"/>
      <c r="T34" s="10" t="s">
        <v>40</v>
      </c>
      <c r="U34" s="11" t="s">
        <v>306</v>
      </c>
    </row>
    <row r="35" customFormat="false" ht="54" hidden="false" customHeight="true" outlineLevel="0" collapsed="false">
      <c r="A35" s="6" t="s">
        <v>307</v>
      </c>
      <c r="B35" s="6" t="s">
        <v>290</v>
      </c>
      <c r="C35" s="6" t="s">
        <v>308</v>
      </c>
      <c r="D35" s="6" t="s">
        <v>309</v>
      </c>
      <c r="E35" s="6" t="s">
        <v>310</v>
      </c>
      <c r="F35" s="6" t="s">
        <v>311</v>
      </c>
      <c r="G35" s="6" t="s">
        <v>312</v>
      </c>
      <c r="H35" s="6" t="s">
        <v>100</v>
      </c>
      <c r="I35" s="6" t="s">
        <v>313</v>
      </c>
      <c r="J35" s="7" t="n">
        <v>46318</v>
      </c>
      <c r="K35" s="7" t="n">
        <v>46321</v>
      </c>
      <c r="L35" s="8" t="n">
        <v>0.5</v>
      </c>
      <c r="M35" s="6" t="s">
        <v>314</v>
      </c>
      <c r="N35" s="9" t="s">
        <v>35</v>
      </c>
      <c r="O35" s="9" t="s">
        <v>315</v>
      </c>
      <c r="P35" s="9" t="s">
        <v>37</v>
      </c>
      <c r="Q35" s="6" t="s">
        <v>81</v>
      </c>
      <c r="R35" s="6" t="s">
        <v>104</v>
      </c>
      <c r="S35" s="8"/>
      <c r="T35" s="12" t="s">
        <v>82</v>
      </c>
      <c r="U35" s="11" t="s">
        <v>316</v>
      </c>
    </row>
    <row r="36" customFormat="false" ht="78" hidden="false" customHeight="true" outlineLevel="0" collapsed="false">
      <c r="A36" s="6" t="s">
        <v>317</v>
      </c>
      <c r="B36" s="6" t="s">
        <v>290</v>
      </c>
      <c r="C36" s="6" t="s">
        <v>318</v>
      </c>
      <c r="D36" s="6" t="s">
        <v>319</v>
      </c>
      <c r="E36" s="6" t="s">
        <v>320</v>
      </c>
      <c r="F36" s="6" t="s">
        <v>321</v>
      </c>
      <c r="G36" s="6" t="s">
        <v>322</v>
      </c>
      <c r="H36" s="6" t="s">
        <v>323</v>
      </c>
      <c r="I36" s="6" t="s">
        <v>324</v>
      </c>
      <c r="J36" s="7" t="n">
        <v>46310</v>
      </c>
      <c r="K36" s="7" t="n">
        <v>46323</v>
      </c>
      <c r="L36" s="8" t="n">
        <v>0.2</v>
      </c>
      <c r="M36" s="6" t="s">
        <v>42</v>
      </c>
      <c r="N36" s="9" t="s">
        <v>35</v>
      </c>
      <c r="O36" s="9" t="s">
        <v>325</v>
      </c>
      <c r="P36" s="9" t="s">
        <v>37</v>
      </c>
      <c r="Q36" s="6" t="s">
        <v>326</v>
      </c>
      <c r="R36" s="6" t="s">
        <v>288</v>
      </c>
      <c r="S36" s="8"/>
      <c r="T36" s="14" t="s">
        <v>327</v>
      </c>
      <c r="U36" s="11" t="s">
        <v>328</v>
      </c>
    </row>
    <row r="37" customFormat="false" ht="63.75" hidden="false" customHeight="true" outlineLevel="0" collapsed="false">
      <c r="A37" s="6" t="s">
        <v>329</v>
      </c>
      <c r="B37" s="6" t="s">
        <v>290</v>
      </c>
      <c r="C37" s="6" t="s">
        <v>318</v>
      </c>
      <c r="D37" s="6" t="s">
        <v>330</v>
      </c>
      <c r="E37" s="6" t="s">
        <v>331</v>
      </c>
      <c r="F37" s="6" t="s">
        <v>321</v>
      </c>
      <c r="G37" s="6" t="s">
        <v>332</v>
      </c>
      <c r="H37" s="6" t="s">
        <v>323</v>
      </c>
      <c r="I37" s="6" t="s">
        <v>333</v>
      </c>
      <c r="J37" s="7" t="n">
        <v>46310</v>
      </c>
      <c r="K37" s="7" t="n">
        <v>46323</v>
      </c>
      <c r="L37" s="8" t="n">
        <v>0.15</v>
      </c>
      <c r="M37" s="6" t="s">
        <v>42</v>
      </c>
      <c r="N37" s="9" t="s">
        <v>35</v>
      </c>
      <c r="O37" s="9" t="s">
        <v>334</v>
      </c>
      <c r="P37" s="9" t="s">
        <v>37</v>
      </c>
      <c r="Q37" s="6" t="s">
        <v>326</v>
      </c>
      <c r="R37" s="6" t="s">
        <v>288</v>
      </c>
      <c r="S37" s="8"/>
      <c r="T37" s="14" t="s">
        <v>327</v>
      </c>
      <c r="U37" s="11" t="s">
        <v>328</v>
      </c>
    </row>
    <row r="38" customFormat="false" ht="54" hidden="false" customHeight="true" outlineLevel="0" collapsed="false">
      <c r="A38" s="6" t="s">
        <v>335</v>
      </c>
      <c r="B38" s="6" t="s">
        <v>290</v>
      </c>
      <c r="C38" s="6" t="s">
        <v>318</v>
      </c>
      <c r="D38" s="6" t="s">
        <v>336</v>
      </c>
      <c r="E38" s="6" t="s">
        <v>337</v>
      </c>
      <c r="F38" s="6" t="s">
        <v>321</v>
      </c>
      <c r="G38" s="6" t="s">
        <v>338</v>
      </c>
      <c r="H38" s="6" t="s">
        <v>323</v>
      </c>
      <c r="I38" s="6" t="s">
        <v>339</v>
      </c>
      <c r="J38" s="7" t="n">
        <v>46310</v>
      </c>
      <c r="K38" s="7" t="n">
        <v>46323</v>
      </c>
      <c r="L38" s="8" t="n">
        <v>0.1</v>
      </c>
      <c r="M38" s="6" t="s">
        <v>42</v>
      </c>
      <c r="N38" s="9" t="s">
        <v>35</v>
      </c>
      <c r="O38" s="9" t="s">
        <v>340</v>
      </c>
      <c r="P38" s="9" t="s">
        <v>37</v>
      </c>
      <c r="Q38" s="6" t="s">
        <v>326</v>
      </c>
      <c r="R38" s="6" t="s">
        <v>288</v>
      </c>
      <c r="S38" s="8"/>
      <c r="T38" s="14" t="s">
        <v>327</v>
      </c>
      <c r="U38" s="11" t="s">
        <v>328</v>
      </c>
    </row>
    <row r="39" customFormat="false" ht="54" hidden="false" customHeight="true" outlineLevel="0" collapsed="false">
      <c r="A39" s="6" t="s">
        <v>341</v>
      </c>
      <c r="B39" s="6" t="s">
        <v>290</v>
      </c>
      <c r="C39" s="6" t="s">
        <v>318</v>
      </c>
      <c r="D39" s="6" t="s">
        <v>342</v>
      </c>
      <c r="E39" s="6" t="s">
        <v>343</v>
      </c>
      <c r="F39" s="6" t="s">
        <v>321</v>
      </c>
      <c r="G39" s="6" t="s">
        <v>344</v>
      </c>
      <c r="H39" s="6" t="s">
        <v>323</v>
      </c>
      <c r="I39" s="6" t="s">
        <v>345</v>
      </c>
      <c r="J39" s="7" t="n">
        <v>46310</v>
      </c>
      <c r="K39" s="7" t="n">
        <v>46323</v>
      </c>
      <c r="L39" s="8" t="n">
        <v>0.05</v>
      </c>
      <c r="M39" s="6" t="s">
        <v>42</v>
      </c>
      <c r="N39" s="9" t="s">
        <v>35</v>
      </c>
      <c r="O39" s="9" t="s">
        <v>346</v>
      </c>
      <c r="P39" s="9" t="s">
        <v>37</v>
      </c>
      <c r="Q39" s="6" t="s">
        <v>326</v>
      </c>
      <c r="R39" s="6" t="s">
        <v>288</v>
      </c>
      <c r="S39" s="8"/>
      <c r="T39" s="14" t="s">
        <v>327</v>
      </c>
      <c r="U39" s="11" t="s">
        <v>328</v>
      </c>
    </row>
    <row r="40" customFormat="false" ht="54" hidden="false" customHeight="true" outlineLevel="0" collapsed="false">
      <c r="A40" s="6" t="s">
        <v>347</v>
      </c>
      <c r="B40" s="6" t="s">
        <v>290</v>
      </c>
      <c r="C40" s="6" t="s">
        <v>348</v>
      </c>
      <c r="D40" s="6" t="s">
        <v>349</v>
      </c>
      <c r="E40" s="6" t="s">
        <v>350</v>
      </c>
      <c r="F40" s="6" t="s">
        <v>351</v>
      </c>
      <c r="G40" s="6" t="s">
        <v>352</v>
      </c>
      <c r="H40" s="6" t="s">
        <v>100</v>
      </c>
      <c r="I40" s="6" t="s">
        <v>33</v>
      </c>
      <c r="J40" s="7" t="n">
        <v>46324</v>
      </c>
      <c r="K40" s="7" t="n">
        <v>46324</v>
      </c>
      <c r="L40" s="8" t="n">
        <v>0.25</v>
      </c>
      <c r="M40" s="6" t="s">
        <v>106</v>
      </c>
      <c r="N40" s="9" t="s">
        <v>35</v>
      </c>
      <c r="O40" s="9" t="s">
        <v>102</v>
      </c>
      <c r="P40" s="9" t="s">
        <v>37</v>
      </c>
      <c r="Q40" s="6" t="s">
        <v>353</v>
      </c>
      <c r="R40" s="6" t="s">
        <v>104</v>
      </c>
      <c r="S40" s="8"/>
      <c r="T40" s="13" t="s">
        <v>105</v>
      </c>
      <c r="U40" s="11"/>
    </row>
    <row r="41" customFormat="false" ht="54" hidden="false" customHeight="true" outlineLevel="0" collapsed="false">
      <c r="A41" s="6" t="s">
        <v>354</v>
      </c>
      <c r="B41" s="6" t="s">
        <v>290</v>
      </c>
      <c r="C41" s="6" t="s">
        <v>348</v>
      </c>
      <c r="D41" s="6" t="s">
        <v>355</v>
      </c>
      <c r="E41" s="6" t="s">
        <v>356</v>
      </c>
      <c r="F41" s="6" t="s">
        <v>357</v>
      </c>
      <c r="G41" s="6" t="s">
        <v>358</v>
      </c>
      <c r="H41" s="6" t="s">
        <v>100</v>
      </c>
      <c r="I41" s="6" t="s">
        <v>33</v>
      </c>
      <c r="J41" s="7" t="n">
        <v>46324</v>
      </c>
      <c r="K41" s="7" t="n">
        <v>46324</v>
      </c>
      <c r="L41" s="8" t="n">
        <v>0.5</v>
      </c>
      <c r="M41" s="6" t="s">
        <v>359</v>
      </c>
      <c r="N41" s="9" t="s">
        <v>35</v>
      </c>
      <c r="O41" s="9" t="s">
        <v>360</v>
      </c>
      <c r="P41" s="9" t="s">
        <v>37</v>
      </c>
      <c r="Q41" s="6" t="s">
        <v>361</v>
      </c>
      <c r="R41" s="6" t="s">
        <v>104</v>
      </c>
      <c r="S41" s="8"/>
      <c r="T41" s="13" t="s">
        <v>105</v>
      </c>
      <c r="U41" s="11"/>
    </row>
    <row r="42" customFormat="false" ht="54" hidden="false" customHeight="true" outlineLevel="0" collapsed="false">
      <c r="A42" s="6" t="s">
        <v>362</v>
      </c>
      <c r="B42" s="6" t="s">
        <v>290</v>
      </c>
      <c r="C42" s="6" t="s">
        <v>363</v>
      </c>
      <c r="D42" s="6" t="s">
        <v>364</v>
      </c>
      <c r="E42" s="6" t="s">
        <v>365</v>
      </c>
      <c r="F42" s="6" t="s">
        <v>366</v>
      </c>
      <c r="G42" s="6" t="s">
        <v>367</v>
      </c>
      <c r="H42" s="6" t="s">
        <v>368</v>
      </c>
      <c r="I42" s="6" t="s">
        <v>369</v>
      </c>
      <c r="J42" s="7" t="n">
        <v>46325</v>
      </c>
      <c r="K42" s="7" t="n">
        <v>46325</v>
      </c>
      <c r="L42" s="8" t="n">
        <v>0.25</v>
      </c>
      <c r="M42" s="6" t="s">
        <v>370</v>
      </c>
      <c r="N42" s="9" t="s">
        <v>35</v>
      </c>
      <c r="O42" s="9" t="s">
        <v>371</v>
      </c>
      <c r="P42" s="9" t="s">
        <v>37</v>
      </c>
      <c r="Q42" s="6" t="s">
        <v>372</v>
      </c>
      <c r="R42" s="6" t="s">
        <v>71</v>
      </c>
      <c r="S42" s="8" t="n">
        <v>0.5</v>
      </c>
      <c r="T42" s="13" t="s">
        <v>105</v>
      </c>
      <c r="U42" s="11"/>
    </row>
    <row r="43" customFormat="false" ht="54" hidden="false" customHeight="true" outlineLevel="0" collapsed="false">
      <c r="A43" s="6" t="s">
        <v>373</v>
      </c>
      <c r="B43" s="6" t="s">
        <v>290</v>
      </c>
      <c r="C43" s="6" t="s">
        <v>374</v>
      </c>
      <c r="D43" s="6" t="s">
        <v>375</v>
      </c>
      <c r="E43" s="6" t="s">
        <v>376</v>
      </c>
      <c r="F43" s="6" t="s">
        <v>377</v>
      </c>
      <c r="G43" s="6" t="s">
        <v>378</v>
      </c>
      <c r="H43" s="6" t="s">
        <v>283</v>
      </c>
      <c r="I43" s="6" t="s">
        <v>379</v>
      </c>
      <c r="J43" s="7" t="n">
        <v>46325</v>
      </c>
      <c r="K43" s="7" t="n">
        <v>46328</v>
      </c>
      <c r="L43" s="8" t="n">
        <v>0.25</v>
      </c>
      <c r="M43" s="6" t="s">
        <v>380</v>
      </c>
      <c r="N43" s="9" t="s">
        <v>35</v>
      </c>
      <c r="O43" s="9" t="s">
        <v>381</v>
      </c>
      <c r="P43" s="9" t="s">
        <v>37</v>
      </c>
      <c r="Q43" s="6" t="s">
        <v>382</v>
      </c>
      <c r="R43" s="6" t="s">
        <v>288</v>
      </c>
      <c r="S43" s="8"/>
      <c r="T43" s="12" t="s">
        <v>82</v>
      </c>
      <c r="U43" s="11" t="s">
        <v>383</v>
      </c>
    </row>
    <row r="44" customFormat="false" ht="63.75" hidden="false" customHeight="true" outlineLevel="0" collapsed="false">
      <c r="A44" s="6" t="s">
        <v>384</v>
      </c>
      <c r="B44" s="6" t="s">
        <v>290</v>
      </c>
      <c r="C44" s="6" t="s">
        <v>308</v>
      </c>
      <c r="D44" s="6" t="s">
        <v>385</v>
      </c>
      <c r="E44" s="6" t="s">
        <v>386</v>
      </c>
      <c r="F44" s="6" t="s">
        <v>387</v>
      </c>
      <c r="G44" s="6" t="s">
        <v>388</v>
      </c>
      <c r="H44" s="6" t="s">
        <v>100</v>
      </c>
      <c r="I44" s="6" t="s">
        <v>389</v>
      </c>
      <c r="J44" s="7" t="n">
        <v>46322</v>
      </c>
      <c r="K44" s="7" t="n">
        <v>46323</v>
      </c>
      <c r="L44" s="8" t="n">
        <v>0.25</v>
      </c>
      <c r="M44" s="6" t="s">
        <v>106</v>
      </c>
      <c r="N44" s="9" t="s">
        <v>35</v>
      </c>
      <c r="O44" s="9" t="s">
        <v>390</v>
      </c>
      <c r="P44" s="9" t="s">
        <v>37</v>
      </c>
      <c r="Q44" s="6" t="s">
        <v>391</v>
      </c>
      <c r="R44" s="6" t="s">
        <v>104</v>
      </c>
      <c r="S44" s="8"/>
      <c r="T44" s="15" t="s">
        <v>392</v>
      </c>
      <c r="U44" s="11" t="s">
        <v>393</v>
      </c>
    </row>
    <row r="45" customFormat="false" ht="63.75" hidden="false" customHeight="true" outlineLevel="0" collapsed="false">
      <c r="A45" s="6" t="s">
        <v>394</v>
      </c>
      <c r="B45" s="6" t="s">
        <v>395</v>
      </c>
      <c r="C45" s="6" t="s">
        <v>396</v>
      </c>
      <c r="D45" s="6" t="s">
        <v>397</v>
      </c>
      <c r="E45" s="6" t="s">
        <v>398</v>
      </c>
      <c r="F45" s="6" t="s">
        <v>399</v>
      </c>
      <c r="G45" s="6" t="s">
        <v>400</v>
      </c>
      <c r="H45" s="6" t="s">
        <v>401</v>
      </c>
      <c r="I45" s="6" t="s">
        <v>402</v>
      </c>
      <c r="J45" s="7" t="n">
        <v>46304</v>
      </c>
      <c r="K45" s="7" t="n">
        <v>46323</v>
      </c>
      <c r="L45" s="8" t="n">
        <v>0.5</v>
      </c>
      <c r="M45" s="6" t="s">
        <v>403</v>
      </c>
      <c r="N45" s="9" t="s">
        <v>35</v>
      </c>
      <c r="O45" s="9" t="s">
        <v>404</v>
      </c>
      <c r="P45" s="9" t="s">
        <v>37</v>
      </c>
      <c r="Q45" s="6" t="s">
        <v>405</v>
      </c>
      <c r="R45" s="6" t="s">
        <v>288</v>
      </c>
      <c r="S45" s="8"/>
      <c r="T45" s="10" t="s">
        <v>40</v>
      </c>
      <c r="U45" s="11" t="s">
        <v>406</v>
      </c>
    </row>
    <row r="46" customFormat="false" ht="91.5" hidden="false" customHeight="true" outlineLevel="0" collapsed="false">
      <c r="A46" s="6" t="s">
        <v>407</v>
      </c>
      <c r="B46" s="6" t="s">
        <v>395</v>
      </c>
      <c r="C46" s="6" t="s">
        <v>396</v>
      </c>
      <c r="D46" s="6" t="s">
        <v>408</v>
      </c>
      <c r="E46" s="6" t="s">
        <v>409</v>
      </c>
      <c r="F46" s="6" t="s">
        <v>410</v>
      </c>
      <c r="G46" s="6" t="s">
        <v>411</v>
      </c>
      <c r="H46" s="6" t="s">
        <v>412</v>
      </c>
      <c r="I46" s="6" t="s">
        <v>413</v>
      </c>
      <c r="J46" s="7" t="n">
        <v>46324</v>
      </c>
      <c r="K46" s="7" t="n">
        <v>46325</v>
      </c>
      <c r="L46" s="8" t="n">
        <v>0.25</v>
      </c>
      <c r="M46" s="6" t="s">
        <v>394</v>
      </c>
      <c r="N46" s="9" t="s">
        <v>414</v>
      </c>
      <c r="O46" s="9" t="s">
        <v>415</v>
      </c>
      <c r="P46" s="9" t="s">
        <v>37</v>
      </c>
      <c r="Q46" s="6" t="s">
        <v>416</v>
      </c>
      <c r="R46" s="6" t="s">
        <v>417</v>
      </c>
      <c r="S46" s="8" t="n">
        <v>0.25</v>
      </c>
      <c r="T46" s="10" t="s">
        <v>40</v>
      </c>
      <c r="U46" s="11" t="s">
        <v>418</v>
      </c>
    </row>
    <row r="47" customFormat="false" ht="78" hidden="false" customHeight="true" outlineLevel="0" collapsed="false">
      <c r="A47" s="6" t="s">
        <v>419</v>
      </c>
      <c r="B47" s="6" t="s">
        <v>395</v>
      </c>
      <c r="C47" s="6" t="s">
        <v>420</v>
      </c>
      <c r="D47" s="6" t="s">
        <v>421</v>
      </c>
      <c r="E47" s="6" t="s">
        <v>422</v>
      </c>
      <c r="F47" s="6" t="s">
        <v>423</v>
      </c>
      <c r="G47" s="6" t="s">
        <v>424</v>
      </c>
      <c r="H47" s="6" t="s">
        <v>100</v>
      </c>
      <c r="I47" s="6" t="s">
        <v>33</v>
      </c>
      <c r="J47" s="7" t="n">
        <v>46324</v>
      </c>
      <c r="K47" s="7" t="n">
        <v>46328</v>
      </c>
      <c r="L47" s="8" t="n">
        <v>0.65</v>
      </c>
      <c r="M47" s="6" t="s">
        <v>425</v>
      </c>
      <c r="N47" s="9" t="s">
        <v>35</v>
      </c>
      <c r="O47" s="9" t="s">
        <v>426</v>
      </c>
      <c r="P47" s="9" t="s">
        <v>37</v>
      </c>
      <c r="Q47" s="6" t="s">
        <v>427</v>
      </c>
      <c r="R47" s="6" t="s">
        <v>104</v>
      </c>
      <c r="S47" s="8"/>
      <c r="T47" s="10" t="s">
        <v>40</v>
      </c>
      <c r="U47" s="11" t="s">
        <v>428</v>
      </c>
    </row>
    <row r="48" customFormat="false" ht="54" hidden="false" customHeight="true" outlineLevel="0" collapsed="false">
      <c r="A48" s="6" t="s">
        <v>429</v>
      </c>
      <c r="B48" s="6" t="s">
        <v>395</v>
      </c>
      <c r="C48" s="6" t="s">
        <v>420</v>
      </c>
      <c r="D48" s="6" t="s">
        <v>430</v>
      </c>
      <c r="E48" s="6" t="s">
        <v>431</v>
      </c>
      <c r="F48" s="6" t="s">
        <v>432</v>
      </c>
      <c r="G48" s="6" t="s">
        <v>433</v>
      </c>
      <c r="H48" s="6" t="s">
        <v>193</v>
      </c>
      <c r="I48" s="6" t="s">
        <v>434</v>
      </c>
      <c r="J48" s="7" t="n">
        <v>46328</v>
      </c>
      <c r="K48" s="7" t="n">
        <v>46328</v>
      </c>
      <c r="L48" s="8" t="n">
        <v>0.5</v>
      </c>
      <c r="M48" s="6" t="s">
        <v>435</v>
      </c>
      <c r="N48" s="9" t="s">
        <v>35</v>
      </c>
      <c r="O48" s="9" t="s">
        <v>436</v>
      </c>
      <c r="P48" s="9" t="s">
        <v>37</v>
      </c>
      <c r="Q48" s="6" t="s">
        <v>437</v>
      </c>
      <c r="R48" s="6" t="s">
        <v>104</v>
      </c>
      <c r="S48" s="8"/>
      <c r="T48" s="12" t="s">
        <v>82</v>
      </c>
      <c r="U48" s="11" t="s">
        <v>438</v>
      </c>
    </row>
    <row r="49" customFormat="false" ht="54" hidden="false" customHeight="true" outlineLevel="0" collapsed="false">
      <c r="A49" s="6" t="s">
        <v>439</v>
      </c>
      <c r="B49" s="6" t="s">
        <v>395</v>
      </c>
      <c r="C49" s="6" t="s">
        <v>440</v>
      </c>
      <c r="D49" s="6" t="s">
        <v>441</v>
      </c>
      <c r="E49" s="6" t="s">
        <v>442</v>
      </c>
      <c r="F49" s="6" t="s">
        <v>443</v>
      </c>
      <c r="G49" s="6" t="s">
        <v>444</v>
      </c>
      <c r="H49" s="6" t="s">
        <v>100</v>
      </c>
      <c r="I49" s="6" t="s">
        <v>33</v>
      </c>
      <c r="J49" s="7" t="n">
        <v>46328</v>
      </c>
      <c r="K49" s="7" t="n">
        <v>46328</v>
      </c>
      <c r="L49" s="8" t="n">
        <v>0.25</v>
      </c>
      <c r="M49" s="6" t="s">
        <v>445</v>
      </c>
      <c r="N49" s="9" t="s">
        <v>35</v>
      </c>
      <c r="O49" s="9" t="s">
        <v>102</v>
      </c>
      <c r="P49" s="9" t="s">
        <v>37</v>
      </c>
      <c r="Q49" s="6" t="s">
        <v>446</v>
      </c>
      <c r="R49" s="6" t="s">
        <v>104</v>
      </c>
      <c r="S49" s="8"/>
      <c r="T49" s="10" t="s">
        <v>40</v>
      </c>
      <c r="U49" s="11" t="s">
        <v>447</v>
      </c>
    </row>
    <row r="50" customFormat="false" ht="78" hidden="false" customHeight="true" outlineLevel="0" collapsed="false">
      <c r="A50" s="6" t="s">
        <v>448</v>
      </c>
      <c r="B50" s="6" t="s">
        <v>395</v>
      </c>
      <c r="C50" s="6" t="s">
        <v>449</v>
      </c>
      <c r="D50" s="6" t="s">
        <v>450</v>
      </c>
      <c r="E50" s="6" t="s">
        <v>451</v>
      </c>
      <c r="F50" s="6" t="s">
        <v>452</v>
      </c>
      <c r="G50" s="6" t="s">
        <v>453</v>
      </c>
      <c r="H50" s="6" t="s">
        <v>100</v>
      </c>
      <c r="I50" s="6" t="s">
        <v>454</v>
      </c>
      <c r="J50" s="7" t="n">
        <v>46328</v>
      </c>
      <c r="K50" s="7" t="n">
        <v>46330</v>
      </c>
      <c r="L50" s="8" t="n">
        <v>0.5</v>
      </c>
      <c r="M50" s="6" t="s">
        <v>455</v>
      </c>
      <c r="N50" s="9" t="s">
        <v>35</v>
      </c>
      <c r="O50" s="9" t="s">
        <v>102</v>
      </c>
      <c r="P50" s="9" t="s">
        <v>37</v>
      </c>
      <c r="Q50" s="6" t="s">
        <v>456</v>
      </c>
      <c r="R50" s="6" t="s">
        <v>104</v>
      </c>
      <c r="S50" s="8"/>
      <c r="T50" s="10" t="s">
        <v>40</v>
      </c>
      <c r="U50" s="11" t="s">
        <v>457</v>
      </c>
    </row>
    <row r="51" customFormat="false" ht="105.75" hidden="false" customHeight="true" outlineLevel="0" collapsed="false">
      <c r="A51" s="6" t="s">
        <v>458</v>
      </c>
      <c r="B51" s="6" t="s">
        <v>395</v>
      </c>
      <c r="C51" s="6" t="s">
        <v>459</v>
      </c>
      <c r="D51" s="6" t="s">
        <v>460</v>
      </c>
      <c r="E51" s="6" t="s">
        <v>461</v>
      </c>
      <c r="F51" s="6" t="s">
        <v>462</v>
      </c>
      <c r="G51" s="6" t="s">
        <v>463</v>
      </c>
      <c r="H51" s="6" t="s">
        <v>464</v>
      </c>
      <c r="I51" s="6" t="s">
        <v>465</v>
      </c>
      <c r="J51" s="7" t="n">
        <v>46304</v>
      </c>
      <c r="K51" s="7" t="n">
        <v>46325</v>
      </c>
      <c r="L51" s="8" t="n">
        <v>0.15</v>
      </c>
      <c r="M51" s="6" t="s">
        <v>42</v>
      </c>
      <c r="N51" s="9" t="s">
        <v>35</v>
      </c>
      <c r="O51" s="9" t="s">
        <v>466</v>
      </c>
      <c r="P51" s="9" t="s">
        <v>37</v>
      </c>
      <c r="Q51" s="6" t="s">
        <v>326</v>
      </c>
      <c r="R51" s="6" t="s">
        <v>288</v>
      </c>
      <c r="S51" s="8"/>
      <c r="T51" s="14" t="s">
        <v>327</v>
      </c>
      <c r="U51" s="11" t="s">
        <v>467</v>
      </c>
    </row>
    <row r="52" customFormat="false" ht="63.75" hidden="false" customHeight="true" outlineLevel="0" collapsed="false">
      <c r="A52" s="6" t="s">
        <v>468</v>
      </c>
      <c r="B52" s="6" t="s">
        <v>395</v>
      </c>
      <c r="C52" s="6" t="s">
        <v>459</v>
      </c>
      <c r="D52" s="6" t="s">
        <v>469</v>
      </c>
      <c r="E52" s="6" t="s">
        <v>470</v>
      </c>
      <c r="F52" s="6" t="s">
        <v>471</v>
      </c>
      <c r="G52" s="6" t="s">
        <v>472</v>
      </c>
      <c r="H52" s="6" t="s">
        <v>464</v>
      </c>
      <c r="I52" s="6" t="s">
        <v>473</v>
      </c>
      <c r="J52" s="7" t="n">
        <v>46330</v>
      </c>
      <c r="K52" s="7" t="n">
        <v>46330</v>
      </c>
      <c r="L52" s="8" t="n">
        <v>0.1</v>
      </c>
      <c r="M52" s="6" t="s">
        <v>474</v>
      </c>
      <c r="N52" s="9" t="s">
        <v>35</v>
      </c>
      <c r="O52" s="9" t="s">
        <v>466</v>
      </c>
      <c r="P52" s="9" t="s">
        <v>37</v>
      </c>
      <c r="Q52" s="6" t="s">
        <v>475</v>
      </c>
      <c r="R52" s="6" t="s">
        <v>288</v>
      </c>
      <c r="S52" s="8"/>
      <c r="T52" s="14" t="s">
        <v>327</v>
      </c>
      <c r="U52" s="11" t="s">
        <v>476</v>
      </c>
    </row>
    <row r="53" customFormat="false" ht="63.75" hidden="false" customHeight="true" outlineLevel="0" collapsed="false">
      <c r="A53" s="6" t="s">
        <v>477</v>
      </c>
      <c r="B53" s="6" t="s">
        <v>395</v>
      </c>
      <c r="C53" s="6" t="s">
        <v>478</v>
      </c>
      <c r="D53" s="6" t="s">
        <v>479</v>
      </c>
      <c r="E53" s="6" t="s">
        <v>480</v>
      </c>
      <c r="F53" s="6" t="s">
        <v>481</v>
      </c>
      <c r="G53" s="6" t="s">
        <v>482</v>
      </c>
      <c r="H53" s="6" t="s">
        <v>483</v>
      </c>
      <c r="I53" s="6" t="s">
        <v>484</v>
      </c>
      <c r="J53" s="7" t="n">
        <v>46304</v>
      </c>
      <c r="K53" s="7" t="n">
        <v>46331</v>
      </c>
      <c r="L53" s="8" t="n">
        <v>0.5</v>
      </c>
      <c r="M53" s="6" t="s">
        <v>42</v>
      </c>
      <c r="N53" s="9" t="s">
        <v>35</v>
      </c>
      <c r="O53" s="9" t="s">
        <v>485</v>
      </c>
      <c r="P53" s="9" t="s">
        <v>37</v>
      </c>
      <c r="Q53" s="6" t="s">
        <v>326</v>
      </c>
      <c r="R53" s="6" t="s">
        <v>39</v>
      </c>
      <c r="S53" s="8"/>
      <c r="T53" s="12" t="s">
        <v>82</v>
      </c>
      <c r="U53" s="11" t="s">
        <v>486</v>
      </c>
    </row>
    <row r="54" customFormat="false" ht="63.75" hidden="false" customHeight="true" outlineLevel="0" collapsed="false">
      <c r="A54" s="6" t="s">
        <v>487</v>
      </c>
      <c r="B54" s="6" t="s">
        <v>488</v>
      </c>
      <c r="C54" s="6" t="s">
        <v>489</v>
      </c>
      <c r="D54" s="6" t="s">
        <v>490</v>
      </c>
      <c r="E54" s="6" t="s">
        <v>491</v>
      </c>
      <c r="F54" s="6" t="s">
        <v>492</v>
      </c>
      <c r="G54" s="6" t="s">
        <v>493</v>
      </c>
      <c r="H54" s="6" t="s">
        <v>494</v>
      </c>
      <c r="I54" s="6" t="s">
        <v>33</v>
      </c>
      <c r="J54" s="7" t="n">
        <v>46310</v>
      </c>
      <c r="K54" s="7" t="n">
        <v>46332</v>
      </c>
      <c r="L54" s="8" t="n">
        <v>1.25</v>
      </c>
      <c r="M54" s="6" t="s">
        <v>495</v>
      </c>
      <c r="N54" s="9" t="s">
        <v>35</v>
      </c>
      <c r="O54" s="9" t="s">
        <v>496</v>
      </c>
      <c r="P54" s="9" t="s">
        <v>37</v>
      </c>
      <c r="Q54" s="6" t="s">
        <v>50</v>
      </c>
      <c r="R54" s="6" t="s">
        <v>39</v>
      </c>
      <c r="S54" s="8"/>
      <c r="T54" s="10" t="s">
        <v>40</v>
      </c>
      <c r="U54" s="11" t="s">
        <v>497</v>
      </c>
    </row>
    <row r="55" customFormat="false" ht="54" hidden="false" customHeight="true" outlineLevel="0" collapsed="false">
      <c r="A55" s="6" t="s">
        <v>498</v>
      </c>
      <c r="B55" s="6" t="s">
        <v>488</v>
      </c>
      <c r="C55" s="6" t="s">
        <v>499</v>
      </c>
      <c r="D55" s="6" t="s">
        <v>500</v>
      </c>
      <c r="E55" s="6" t="s">
        <v>501</v>
      </c>
      <c r="F55" s="6" t="s">
        <v>502</v>
      </c>
      <c r="G55" s="6" t="s">
        <v>503</v>
      </c>
      <c r="H55" s="6" t="s">
        <v>504</v>
      </c>
      <c r="I55" s="6" t="s">
        <v>33</v>
      </c>
      <c r="J55" s="7" t="n">
        <v>46332</v>
      </c>
      <c r="K55" s="7" t="n">
        <v>46332</v>
      </c>
      <c r="L55" s="8" t="n">
        <v>0.75</v>
      </c>
      <c r="M55" s="6" t="s">
        <v>505</v>
      </c>
      <c r="N55" s="9" t="s">
        <v>35</v>
      </c>
      <c r="O55" s="9" t="s">
        <v>506</v>
      </c>
      <c r="P55" s="9" t="s">
        <v>37</v>
      </c>
      <c r="Q55" s="6" t="s">
        <v>326</v>
      </c>
      <c r="R55" s="6" t="s">
        <v>39</v>
      </c>
      <c r="S55" s="8"/>
      <c r="T55" s="12" t="s">
        <v>82</v>
      </c>
      <c r="U55" s="11" t="s">
        <v>507</v>
      </c>
    </row>
    <row r="56" customFormat="false" ht="54" hidden="false" customHeight="true" outlineLevel="0" collapsed="false">
      <c r="A56" s="11" t="s">
        <v>508</v>
      </c>
      <c r="B56" s="11" t="s">
        <v>488</v>
      </c>
      <c r="C56" s="11" t="s">
        <v>499</v>
      </c>
      <c r="D56" s="11" t="s">
        <v>509</v>
      </c>
      <c r="E56" s="11" t="s">
        <v>510</v>
      </c>
      <c r="F56" s="11" t="s">
        <v>511</v>
      </c>
      <c r="G56" s="11" t="s">
        <v>512</v>
      </c>
      <c r="H56" s="11" t="s">
        <v>513</v>
      </c>
      <c r="I56" s="11" t="s">
        <v>33</v>
      </c>
      <c r="J56" s="16" t="n">
        <v>46332</v>
      </c>
      <c r="K56" s="16" t="n">
        <v>46335</v>
      </c>
      <c r="L56" s="17" t="n">
        <v>0</v>
      </c>
      <c r="M56" s="11" t="s">
        <v>498</v>
      </c>
      <c r="N56" s="18" t="s">
        <v>35</v>
      </c>
      <c r="O56" s="18" t="s">
        <v>514</v>
      </c>
      <c r="P56" s="18" t="s">
        <v>37</v>
      </c>
      <c r="Q56" s="11" t="s">
        <v>326</v>
      </c>
      <c r="R56" s="11" t="s">
        <v>515</v>
      </c>
      <c r="S56" s="17" t="n">
        <v>0.75</v>
      </c>
      <c r="T56" s="12" t="s">
        <v>82</v>
      </c>
      <c r="U56" s="11" t="s">
        <v>516</v>
      </c>
    </row>
    <row r="57" customFormat="false" ht="54" hidden="false" customHeight="true" outlineLevel="0" collapsed="false">
      <c r="A57" s="11" t="s">
        <v>517</v>
      </c>
      <c r="B57" s="11" t="s">
        <v>488</v>
      </c>
      <c r="C57" s="11" t="s">
        <v>518</v>
      </c>
      <c r="D57" s="11" t="s">
        <v>519</v>
      </c>
      <c r="E57" s="11" t="s">
        <v>520</v>
      </c>
      <c r="F57" s="11" t="s">
        <v>521</v>
      </c>
      <c r="G57" s="11" t="s">
        <v>522</v>
      </c>
      <c r="H57" s="11" t="s">
        <v>494</v>
      </c>
      <c r="I57" s="11" t="s">
        <v>33</v>
      </c>
      <c r="J57" s="16" t="n">
        <v>46335</v>
      </c>
      <c r="K57" s="16" t="n">
        <v>46335</v>
      </c>
      <c r="L57" s="17" t="n">
        <v>0.75</v>
      </c>
      <c r="M57" s="11" t="s">
        <v>523</v>
      </c>
      <c r="N57" s="18" t="s">
        <v>35</v>
      </c>
      <c r="O57" s="18" t="s">
        <v>524</v>
      </c>
      <c r="P57" s="18" t="s">
        <v>37</v>
      </c>
      <c r="Q57" s="11" t="s">
        <v>38</v>
      </c>
      <c r="R57" s="11" t="s">
        <v>39</v>
      </c>
      <c r="S57" s="17"/>
      <c r="T57" s="10" t="s">
        <v>40</v>
      </c>
      <c r="U57" s="11" t="s">
        <v>525</v>
      </c>
    </row>
    <row r="58" customFormat="false" ht="63.75" hidden="false" customHeight="true" outlineLevel="0" collapsed="false">
      <c r="A58" s="11" t="s">
        <v>526</v>
      </c>
      <c r="B58" s="11" t="s">
        <v>488</v>
      </c>
      <c r="C58" s="11" t="s">
        <v>527</v>
      </c>
      <c r="D58" s="11" t="s">
        <v>528</v>
      </c>
      <c r="E58" s="11" t="s">
        <v>529</v>
      </c>
      <c r="F58" s="11" t="s">
        <v>530</v>
      </c>
      <c r="G58" s="11" t="s">
        <v>531</v>
      </c>
      <c r="H58" s="11" t="s">
        <v>504</v>
      </c>
      <c r="I58" s="11" t="s">
        <v>33</v>
      </c>
      <c r="J58" s="16" t="n">
        <v>46335</v>
      </c>
      <c r="K58" s="16" t="n">
        <v>46336</v>
      </c>
      <c r="L58" s="17" t="n">
        <v>0.5</v>
      </c>
      <c r="M58" s="11" t="s">
        <v>517</v>
      </c>
      <c r="N58" s="18" t="s">
        <v>35</v>
      </c>
      <c r="O58" s="18" t="s">
        <v>532</v>
      </c>
      <c r="P58" s="18" t="s">
        <v>37</v>
      </c>
      <c r="Q58" s="11" t="s">
        <v>326</v>
      </c>
      <c r="R58" s="11" t="s">
        <v>39</v>
      </c>
      <c r="S58" s="17"/>
      <c r="T58" s="10" t="s">
        <v>40</v>
      </c>
      <c r="U58" s="11" t="s">
        <v>533</v>
      </c>
    </row>
    <row r="59" customFormat="false" ht="54" hidden="false" customHeight="true" outlineLevel="0" collapsed="false">
      <c r="A59" s="11" t="s">
        <v>534</v>
      </c>
      <c r="B59" s="11" t="s">
        <v>488</v>
      </c>
      <c r="C59" s="11" t="s">
        <v>535</v>
      </c>
      <c r="D59" s="11" t="s">
        <v>536</v>
      </c>
      <c r="E59" s="11" t="s">
        <v>537</v>
      </c>
      <c r="F59" s="11" t="s">
        <v>538</v>
      </c>
      <c r="G59" s="11" t="s">
        <v>539</v>
      </c>
      <c r="H59" s="11" t="s">
        <v>483</v>
      </c>
      <c r="I59" s="11" t="s">
        <v>33</v>
      </c>
      <c r="J59" s="16" t="n">
        <v>46336</v>
      </c>
      <c r="K59" s="16" t="n">
        <v>46336</v>
      </c>
      <c r="L59" s="17" t="n">
        <v>0.25</v>
      </c>
      <c r="M59" s="11" t="s">
        <v>526</v>
      </c>
      <c r="N59" s="18" t="s">
        <v>35</v>
      </c>
      <c r="O59" s="18" t="s">
        <v>540</v>
      </c>
      <c r="P59" s="18" t="s">
        <v>37</v>
      </c>
      <c r="Q59" s="11" t="s">
        <v>446</v>
      </c>
      <c r="R59" s="11" t="s">
        <v>39</v>
      </c>
      <c r="S59" s="17"/>
      <c r="T59" s="13" t="s">
        <v>105</v>
      </c>
      <c r="U59" s="11"/>
    </row>
  </sheetData>
  <autoFilter ref="A5:U59"/>
  <conditionalFormatting sqref="P6:P59">
    <cfRule type="containsText" priority="2" operator="containsText" aboveAverage="0" equalAverage="0" bottom="0" percent="0" rank="0" text="保留" dxfId="9">
      <formula>NOT(ISERROR(SEARCH("保留",P6)))</formula>
    </cfRule>
  </conditionalFormatting>
  <dataValidations count="1">
    <dataValidation allowBlank="false" errorStyle="stop" operator="between" showDropDown="false" showErrorMessage="false" showInputMessage="false" sqref="P6:P59" type="list">
      <formula1>"未着手,実施中,証跡待ち,レビュー待ち,完了,保留"</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3203125" defaultRowHeight="13.5" zeroHeight="false" outlineLevelRow="0" outlineLevelCol="0"/>
  <cols>
    <col collapsed="false" customWidth="true" hidden="false" outlineLevel="0" max="3" min="1" style="0" width="10"/>
    <col collapsed="false" customWidth="true" hidden="false" outlineLevel="0" max="4" min="4" style="0" width="26"/>
    <col collapsed="false" customWidth="true" hidden="false" outlineLevel="0" max="5" min="5" style="0" width="76"/>
    <col collapsed="false" customWidth="true" hidden="false" outlineLevel="0" max="6" min="6" style="0" width="12"/>
    <col collapsed="false" customWidth="true" hidden="false" outlineLevel="0" max="7" min="7" style="0" width="24"/>
    <col collapsed="false" customWidth="true" hidden="false" outlineLevel="0" max="8" min="8" style="0" width="65"/>
    <col collapsed="false" customWidth="true" hidden="false" outlineLevel="0" max="9" min="9" style="0" width="20"/>
    <col collapsed="false" customWidth="true" hidden="false" outlineLevel="0" max="10" min="10" style="0" width="22"/>
    <col collapsed="false" customWidth="true" hidden="false" outlineLevel="0" max="11" min="11" style="0" width="30"/>
    <col collapsed="false" customWidth="true" hidden="false" outlineLevel="0" max="12" min="12" style="0" width="45"/>
    <col collapsed="false" customWidth="true" hidden="false" outlineLevel="0" max="13" min="13" style="0" width="16"/>
    <col collapsed="false" customWidth="true" hidden="false" outlineLevel="0" max="14" min="14" style="0" width="20"/>
    <col collapsed="false" customWidth="true" hidden="false" outlineLevel="0" max="15" min="15" style="0" width="16"/>
    <col collapsed="false" customWidth="true" hidden="false" outlineLevel="0" max="16" min="16" style="0" width="30"/>
  </cols>
  <sheetData>
    <row r="1" customFormat="false" ht="13.5" hidden="false" customHeight="false" outlineLevel="0" collapsed="false">
      <c r="A1" s="1"/>
      <c r="B1" s="1"/>
      <c r="C1" s="1"/>
      <c r="D1" s="1"/>
      <c r="E1" s="1"/>
      <c r="F1" s="1"/>
      <c r="G1" s="1"/>
      <c r="H1" s="1"/>
      <c r="I1" s="1"/>
      <c r="J1" s="1"/>
      <c r="K1" s="1"/>
      <c r="L1" s="1"/>
    </row>
    <row r="2" customFormat="false" ht="21" hidden="false" customHeight="true" outlineLevel="0" collapsed="false">
      <c r="A2" s="2" t="s">
        <v>541</v>
      </c>
      <c r="B2" s="1"/>
      <c r="C2" s="1"/>
      <c r="D2" s="1"/>
      <c r="E2" s="1"/>
      <c r="F2" s="1"/>
      <c r="G2" s="1"/>
      <c r="H2" s="1"/>
      <c r="I2" s="1"/>
      <c r="J2" s="1"/>
      <c r="K2" s="1"/>
      <c r="L2" s="1"/>
    </row>
    <row r="3" customFormat="false" ht="15.65" hidden="false" customHeight="false" outlineLevel="0" collapsed="false">
      <c r="A3" s="1" t="s">
        <v>542</v>
      </c>
      <c r="B3" s="1"/>
      <c r="C3" s="1"/>
      <c r="D3" s="1"/>
      <c r="E3" s="1"/>
      <c r="F3" s="1"/>
      <c r="G3" s="1"/>
      <c r="H3" s="1"/>
      <c r="I3" s="1"/>
      <c r="J3" s="1"/>
      <c r="K3" s="1"/>
      <c r="L3" s="1"/>
    </row>
    <row r="4" customFormat="false" ht="13.5" hidden="false" customHeight="false" outlineLevel="0" collapsed="false">
      <c r="A4" s="1"/>
      <c r="B4" s="1"/>
      <c r="C4" s="1"/>
      <c r="D4" s="1"/>
      <c r="E4" s="1"/>
      <c r="F4" s="1"/>
      <c r="G4" s="1"/>
      <c r="H4" s="1"/>
      <c r="I4" s="1"/>
      <c r="J4" s="1"/>
      <c r="K4" s="1"/>
      <c r="L4" s="1"/>
    </row>
    <row r="5" customFormat="false" ht="33.75" hidden="false" customHeight="true" outlineLevel="0" collapsed="false">
      <c r="A5" s="4" t="s">
        <v>543</v>
      </c>
      <c r="B5" s="4" t="s">
        <v>544</v>
      </c>
      <c r="C5" s="4" t="s">
        <v>545</v>
      </c>
      <c r="D5" s="4" t="s">
        <v>546</v>
      </c>
      <c r="E5" s="4" t="s">
        <v>547</v>
      </c>
      <c r="F5" s="4" t="s">
        <v>548</v>
      </c>
      <c r="G5" s="4" t="s">
        <v>549</v>
      </c>
      <c r="H5" s="4" t="s">
        <v>550</v>
      </c>
      <c r="I5" s="4" t="s">
        <v>551</v>
      </c>
      <c r="J5" s="4" t="s">
        <v>552</v>
      </c>
      <c r="K5" s="4" t="s">
        <v>553</v>
      </c>
      <c r="L5" s="4" t="s">
        <v>554</v>
      </c>
      <c r="M5" s="5" t="s">
        <v>555</v>
      </c>
      <c r="N5" s="5" t="s">
        <v>556</v>
      </c>
      <c r="O5" s="5" t="s">
        <v>557</v>
      </c>
      <c r="P5" s="5" t="s">
        <v>558</v>
      </c>
    </row>
    <row r="6" customFormat="false" ht="39.75" hidden="false" customHeight="true" outlineLevel="0" collapsed="false">
      <c r="A6" s="6" t="n">
        <v>3</v>
      </c>
      <c r="B6" s="6" t="n">
        <v>119</v>
      </c>
      <c r="C6" s="6" t="s">
        <v>559</v>
      </c>
      <c r="D6" s="6" t="s">
        <v>560</v>
      </c>
      <c r="E6" s="6" t="s">
        <v>561</v>
      </c>
      <c r="F6" s="6" t="s">
        <v>268</v>
      </c>
      <c r="G6" s="6" t="s">
        <v>193</v>
      </c>
      <c r="H6" s="6" t="s">
        <v>562</v>
      </c>
      <c r="I6" s="9" t="s">
        <v>563</v>
      </c>
      <c r="J6" s="9"/>
      <c r="K6" s="9"/>
      <c r="L6" s="9"/>
      <c r="M6" s="11"/>
      <c r="N6" s="18"/>
      <c r="O6" s="18"/>
      <c r="P6" s="11" t="str">
        <f aca="false">IFERROR(INDEX(WBS!$O$6:$O$59,MATCH($F6,WBS!$A$6:$A$59,0)),"")</f>
        <v>資産管理担当</v>
      </c>
    </row>
    <row r="7" customFormat="false" ht="39.75" hidden="false" customHeight="true" outlineLevel="0" collapsed="false">
      <c r="A7" s="6" t="n">
        <v>4</v>
      </c>
      <c r="B7" s="6" t="n">
        <v>120</v>
      </c>
      <c r="C7" s="6" t="s">
        <v>559</v>
      </c>
      <c r="D7" s="6" t="s">
        <v>560</v>
      </c>
      <c r="E7" s="6" t="s">
        <v>564</v>
      </c>
      <c r="F7" s="6" t="s">
        <v>268</v>
      </c>
      <c r="G7" s="6" t="s">
        <v>193</v>
      </c>
      <c r="H7" s="6" t="s">
        <v>562</v>
      </c>
      <c r="I7" s="9" t="s">
        <v>563</v>
      </c>
      <c r="J7" s="9"/>
      <c r="K7" s="9"/>
      <c r="L7" s="9"/>
      <c r="M7" s="11"/>
      <c r="N7" s="18"/>
      <c r="O7" s="18"/>
      <c r="P7" s="11" t="str">
        <f aca="false">IFERROR(INDEX(WBS!$O$6:$O$59,MATCH($F7,WBS!$A$6:$A$59,0)),"")</f>
        <v>資産管理担当</v>
      </c>
    </row>
    <row r="8" customFormat="false" ht="39.75" hidden="false" customHeight="true" outlineLevel="0" collapsed="false">
      <c r="A8" s="6" t="n">
        <v>5</v>
      </c>
      <c r="B8" s="6" t="n">
        <v>121</v>
      </c>
      <c r="C8" s="6" t="s">
        <v>559</v>
      </c>
      <c r="D8" s="6" t="s">
        <v>560</v>
      </c>
      <c r="E8" s="6" t="s">
        <v>565</v>
      </c>
      <c r="F8" s="6" t="s">
        <v>268</v>
      </c>
      <c r="G8" s="6" t="s">
        <v>193</v>
      </c>
      <c r="H8" s="6" t="s">
        <v>566</v>
      </c>
      <c r="I8" s="9" t="s">
        <v>563</v>
      </c>
      <c r="J8" s="9"/>
      <c r="K8" s="9"/>
      <c r="L8" s="9"/>
      <c r="M8" s="11"/>
      <c r="N8" s="18"/>
      <c r="O8" s="18"/>
      <c r="P8" s="11" t="str">
        <f aca="false">IFERROR(INDEX(WBS!$O$6:$O$59,MATCH($F8,WBS!$A$6:$A$59,0)),"")</f>
        <v>資産管理担当</v>
      </c>
    </row>
    <row r="9" customFormat="false" ht="39.75" hidden="false" customHeight="true" outlineLevel="0" collapsed="false">
      <c r="A9" s="6" t="n">
        <v>6</v>
      </c>
      <c r="B9" s="6" t="n">
        <v>122</v>
      </c>
      <c r="C9" s="6" t="s">
        <v>559</v>
      </c>
      <c r="D9" s="6" t="s">
        <v>560</v>
      </c>
      <c r="E9" s="6" t="s">
        <v>567</v>
      </c>
      <c r="F9" s="6" t="s">
        <v>268</v>
      </c>
      <c r="G9" s="6" t="s">
        <v>193</v>
      </c>
      <c r="H9" s="6" t="s">
        <v>562</v>
      </c>
      <c r="I9" s="9" t="s">
        <v>563</v>
      </c>
      <c r="J9" s="9"/>
      <c r="K9" s="9"/>
      <c r="L9" s="9"/>
      <c r="M9" s="11"/>
      <c r="N9" s="18"/>
      <c r="O9" s="18"/>
      <c r="P9" s="11" t="str">
        <f aca="false">IFERROR(INDEX(WBS!$O$6:$O$59,MATCH($F9,WBS!$A$6:$A$59,0)),"")</f>
        <v>資産管理担当</v>
      </c>
    </row>
    <row r="10" customFormat="false" ht="49.5" hidden="false" customHeight="true" outlineLevel="0" collapsed="false">
      <c r="A10" s="6" t="n">
        <v>7</v>
      </c>
      <c r="B10" s="6" t="n">
        <v>153</v>
      </c>
      <c r="C10" s="6" t="s">
        <v>568</v>
      </c>
      <c r="D10" s="6" t="s">
        <v>569</v>
      </c>
      <c r="E10" s="6" t="s">
        <v>570</v>
      </c>
      <c r="F10" s="6" t="s">
        <v>317</v>
      </c>
      <c r="G10" s="6" t="s">
        <v>571</v>
      </c>
      <c r="H10" s="6" t="s">
        <v>572</v>
      </c>
      <c r="I10" s="9" t="s">
        <v>563</v>
      </c>
      <c r="J10" s="9"/>
      <c r="K10" s="9"/>
      <c r="L10" s="9"/>
      <c r="M10" s="11"/>
      <c r="N10" s="18"/>
      <c r="O10" s="18"/>
      <c r="P10" s="11" t="str">
        <f aca="false">IFERROR(INDEX(WBS!$O$6:$O$59,MATCH($F10,WBS!$A$6:$A$59,0)),"")</f>
        <v>AD／Windows管理者</v>
      </c>
    </row>
    <row r="11" customFormat="false" ht="39.75" hidden="false" customHeight="true" outlineLevel="0" collapsed="false">
      <c r="A11" s="6" t="n">
        <v>8</v>
      </c>
      <c r="B11" s="6" t="n">
        <v>36</v>
      </c>
      <c r="C11" s="6" t="s">
        <v>568</v>
      </c>
      <c r="D11" s="6" t="s">
        <v>573</v>
      </c>
      <c r="E11" s="6" t="s">
        <v>574</v>
      </c>
      <c r="F11" s="6" t="s">
        <v>42</v>
      </c>
      <c r="G11" s="6" t="s">
        <v>575</v>
      </c>
      <c r="H11" s="6" t="s">
        <v>576</v>
      </c>
      <c r="I11" s="9" t="s">
        <v>563</v>
      </c>
      <c r="J11" s="9"/>
      <c r="K11" s="9"/>
      <c r="L11" s="9"/>
      <c r="M11" s="11"/>
      <c r="N11" s="18"/>
      <c r="O11" s="18"/>
      <c r="P11" s="11" t="str">
        <f aca="false">IFERROR(INDEX(WBS!$O$6:$O$59,MATCH($F11,WBS!$A$6:$A$59,0)),"")</f>
        <v>各システム管理者・セキュリティ担当</v>
      </c>
    </row>
    <row r="12" customFormat="false" ht="39.75" hidden="false" customHeight="true" outlineLevel="0" collapsed="false">
      <c r="A12" s="6" t="n">
        <v>9</v>
      </c>
      <c r="B12" s="6" t="n">
        <v>37</v>
      </c>
      <c r="C12" s="6" t="s">
        <v>568</v>
      </c>
      <c r="D12" s="6" t="s">
        <v>573</v>
      </c>
      <c r="E12" s="6" t="s">
        <v>577</v>
      </c>
      <c r="F12" s="6" t="s">
        <v>42</v>
      </c>
      <c r="G12" s="6" t="s">
        <v>575</v>
      </c>
      <c r="H12" s="6" t="s">
        <v>576</v>
      </c>
      <c r="I12" s="9" t="s">
        <v>563</v>
      </c>
      <c r="J12" s="9"/>
      <c r="K12" s="9"/>
      <c r="L12" s="9"/>
      <c r="M12" s="11"/>
      <c r="N12" s="18"/>
      <c r="O12" s="18"/>
      <c r="P12" s="11" t="str">
        <f aca="false">IFERROR(INDEX(WBS!$O$6:$O$59,MATCH($F12,WBS!$A$6:$A$59,0)),"")</f>
        <v>各システム管理者・セキュリティ担当</v>
      </c>
    </row>
    <row r="13" customFormat="false" ht="39.75" hidden="false" customHeight="true" outlineLevel="0" collapsed="false">
      <c r="A13" s="6" t="n">
        <v>10</v>
      </c>
      <c r="B13" s="6" t="n">
        <v>4</v>
      </c>
      <c r="C13" s="6" t="s">
        <v>568</v>
      </c>
      <c r="D13" s="6" t="s">
        <v>573</v>
      </c>
      <c r="E13" s="6" t="s">
        <v>578</v>
      </c>
      <c r="F13" s="6" t="s">
        <v>42</v>
      </c>
      <c r="G13" s="6" t="s">
        <v>575</v>
      </c>
      <c r="H13" s="6" t="s">
        <v>576</v>
      </c>
      <c r="I13" s="9" t="s">
        <v>563</v>
      </c>
      <c r="J13" s="9"/>
      <c r="K13" s="9"/>
      <c r="L13" s="9"/>
      <c r="M13" s="11"/>
      <c r="N13" s="18"/>
      <c r="O13" s="18"/>
      <c r="P13" s="11" t="str">
        <f aca="false">IFERROR(INDEX(WBS!$O$6:$O$59,MATCH($F13,WBS!$A$6:$A$59,0)),"")</f>
        <v>各システム管理者・セキュリティ担当</v>
      </c>
    </row>
    <row r="14" customFormat="false" ht="39.75" hidden="false" customHeight="true" outlineLevel="0" collapsed="false">
      <c r="A14" s="6" t="n">
        <v>11</v>
      </c>
      <c r="B14" s="6" t="n">
        <v>5</v>
      </c>
      <c r="C14" s="6" t="s">
        <v>568</v>
      </c>
      <c r="D14" s="6" t="s">
        <v>573</v>
      </c>
      <c r="E14" s="6" t="s">
        <v>579</v>
      </c>
      <c r="F14" s="6" t="s">
        <v>42</v>
      </c>
      <c r="G14" s="6" t="s">
        <v>575</v>
      </c>
      <c r="H14" s="6" t="s">
        <v>576</v>
      </c>
      <c r="I14" s="9" t="s">
        <v>563</v>
      </c>
      <c r="J14" s="9"/>
      <c r="K14" s="9"/>
      <c r="L14" s="9"/>
      <c r="M14" s="11"/>
      <c r="N14" s="18"/>
      <c r="O14" s="18"/>
      <c r="P14" s="11" t="str">
        <f aca="false">IFERROR(INDEX(WBS!$O$6:$O$59,MATCH($F14,WBS!$A$6:$A$59,0)),"")</f>
        <v>各システム管理者・セキュリティ担当</v>
      </c>
    </row>
    <row r="15" customFormat="false" ht="39.75" hidden="false" customHeight="true" outlineLevel="0" collapsed="false">
      <c r="A15" s="6" t="n">
        <v>12</v>
      </c>
      <c r="B15" s="6" t="n">
        <v>6</v>
      </c>
      <c r="C15" s="6" t="s">
        <v>568</v>
      </c>
      <c r="D15" s="6" t="s">
        <v>573</v>
      </c>
      <c r="E15" s="6" t="s">
        <v>580</v>
      </c>
      <c r="F15" s="6" t="s">
        <v>42</v>
      </c>
      <c r="G15" s="6" t="s">
        <v>575</v>
      </c>
      <c r="H15" s="6" t="s">
        <v>576</v>
      </c>
      <c r="I15" s="9" t="s">
        <v>563</v>
      </c>
      <c r="J15" s="9"/>
      <c r="K15" s="9"/>
      <c r="L15" s="9"/>
      <c r="M15" s="11"/>
      <c r="N15" s="18"/>
      <c r="O15" s="18"/>
      <c r="P15" s="11" t="str">
        <f aca="false">IFERROR(INDEX(WBS!$O$6:$O$59,MATCH($F15,WBS!$A$6:$A$59,0)),"")</f>
        <v>各システム管理者・セキュリティ担当</v>
      </c>
    </row>
    <row r="16" customFormat="false" ht="39.75" hidden="false" customHeight="true" outlineLevel="0" collapsed="false">
      <c r="A16" s="6" t="n">
        <v>13</v>
      </c>
      <c r="B16" s="6" t="n">
        <v>7</v>
      </c>
      <c r="C16" s="6" t="s">
        <v>568</v>
      </c>
      <c r="D16" s="6" t="s">
        <v>573</v>
      </c>
      <c r="E16" s="6" t="s">
        <v>581</v>
      </c>
      <c r="F16" s="6" t="s">
        <v>42</v>
      </c>
      <c r="G16" s="6" t="s">
        <v>575</v>
      </c>
      <c r="H16" s="6" t="s">
        <v>576</v>
      </c>
      <c r="I16" s="9" t="s">
        <v>563</v>
      </c>
      <c r="J16" s="9"/>
      <c r="K16" s="9"/>
      <c r="L16" s="9"/>
      <c r="M16" s="11"/>
      <c r="N16" s="18"/>
      <c r="O16" s="18"/>
      <c r="P16" s="11" t="str">
        <f aca="false">IFERROR(INDEX(WBS!$O$6:$O$59,MATCH($F16,WBS!$A$6:$A$59,0)),"")</f>
        <v>各システム管理者・セキュリティ担当</v>
      </c>
    </row>
    <row r="17" customFormat="false" ht="39.75" hidden="false" customHeight="true" outlineLevel="0" collapsed="false">
      <c r="A17" s="6" t="n">
        <v>14</v>
      </c>
      <c r="B17" s="6" t="n">
        <v>39</v>
      </c>
      <c r="C17" s="6" t="s">
        <v>568</v>
      </c>
      <c r="D17" s="6" t="s">
        <v>582</v>
      </c>
      <c r="E17" s="6" t="s">
        <v>583</v>
      </c>
      <c r="F17" s="6" t="s">
        <v>268</v>
      </c>
      <c r="G17" s="6" t="s">
        <v>193</v>
      </c>
      <c r="H17" s="6" t="s">
        <v>584</v>
      </c>
      <c r="I17" s="9" t="s">
        <v>563</v>
      </c>
      <c r="J17" s="9"/>
      <c r="K17" s="9"/>
      <c r="L17" s="9"/>
      <c r="M17" s="11"/>
      <c r="N17" s="18"/>
      <c r="O17" s="18"/>
      <c r="P17" s="11" t="str">
        <f aca="false">IFERROR(INDEX(WBS!$O$6:$O$59,MATCH($F17,WBS!$A$6:$A$59,0)),"")</f>
        <v>資産管理担当</v>
      </c>
    </row>
    <row r="18" customFormat="false" ht="39.75" hidden="false" customHeight="true" outlineLevel="0" collapsed="false">
      <c r="A18" s="6" t="n">
        <v>15</v>
      </c>
      <c r="B18" s="6" t="n">
        <v>40</v>
      </c>
      <c r="C18" s="6" t="s">
        <v>568</v>
      </c>
      <c r="D18" s="6" t="s">
        <v>582</v>
      </c>
      <c r="E18" s="6" t="s">
        <v>585</v>
      </c>
      <c r="F18" s="6" t="s">
        <v>268</v>
      </c>
      <c r="G18" s="6" t="s">
        <v>193</v>
      </c>
      <c r="H18" s="6" t="s">
        <v>584</v>
      </c>
      <c r="I18" s="9" t="s">
        <v>563</v>
      </c>
      <c r="J18" s="9"/>
      <c r="K18" s="9"/>
      <c r="L18" s="9"/>
      <c r="M18" s="11"/>
      <c r="N18" s="18"/>
      <c r="O18" s="18"/>
      <c r="P18" s="11" t="str">
        <f aca="false">IFERROR(INDEX(WBS!$O$6:$O$59,MATCH($F18,WBS!$A$6:$A$59,0)),"")</f>
        <v>資産管理担当</v>
      </c>
    </row>
    <row r="19" customFormat="false" ht="39.75" hidden="false" customHeight="true" outlineLevel="0" collapsed="false">
      <c r="A19" s="6" t="n">
        <v>16</v>
      </c>
      <c r="B19" s="6" t="n">
        <v>28</v>
      </c>
      <c r="C19" s="6" t="s">
        <v>568</v>
      </c>
      <c r="D19" s="6" t="s">
        <v>586</v>
      </c>
      <c r="E19" s="6" t="s">
        <v>587</v>
      </c>
      <c r="F19" s="6" t="s">
        <v>258</v>
      </c>
      <c r="G19" s="6" t="s">
        <v>263</v>
      </c>
      <c r="H19" s="6" t="s">
        <v>588</v>
      </c>
      <c r="I19" s="9" t="s">
        <v>563</v>
      </c>
      <c r="J19" s="9"/>
      <c r="K19" s="9"/>
      <c r="L19" s="9"/>
      <c r="M19" s="11"/>
      <c r="N19" s="18"/>
      <c r="O19" s="18"/>
      <c r="P19" s="11" t="str">
        <f aca="false">IFERROR(INDEX(WBS!$O$6:$O$59,MATCH($F19,WBS!$A$6:$A$59,0)),"")</f>
        <v>セキュリティ担当</v>
      </c>
    </row>
    <row r="20" customFormat="false" ht="39.75" hidden="false" customHeight="true" outlineLevel="0" collapsed="false">
      <c r="A20" s="6" t="n">
        <v>17</v>
      </c>
      <c r="B20" s="6" t="n">
        <v>29</v>
      </c>
      <c r="C20" s="6" t="s">
        <v>568</v>
      </c>
      <c r="D20" s="6" t="s">
        <v>586</v>
      </c>
      <c r="E20" s="6" t="s">
        <v>589</v>
      </c>
      <c r="F20" s="6" t="s">
        <v>258</v>
      </c>
      <c r="G20" s="6" t="s">
        <v>263</v>
      </c>
      <c r="H20" s="6" t="s">
        <v>588</v>
      </c>
      <c r="I20" s="9" t="s">
        <v>563</v>
      </c>
      <c r="J20" s="9"/>
      <c r="K20" s="9"/>
      <c r="L20" s="9"/>
      <c r="M20" s="11"/>
      <c r="N20" s="18"/>
      <c r="O20" s="18"/>
      <c r="P20" s="11" t="str">
        <f aca="false">IFERROR(INDEX(WBS!$O$6:$O$59,MATCH($F20,WBS!$A$6:$A$59,0)),"")</f>
        <v>セキュリティ担当</v>
      </c>
    </row>
    <row r="21" customFormat="false" ht="49.5" hidden="false" customHeight="true" outlineLevel="0" collapsed="false">
      <c r="A21" s="6" t="n">
        <v>18</v>
      </c>
      <c r="B21" s="6" t="n">
        <v>30</v>
      </c>
      <c r="C21" s="6" t="s">
        <v>568</v>
      </c>
      <c r="D21" s="6" t="s">
        <v>586</v>
      </c>
      <c r="E21" s="6" t="s">
        <v>590</v>
      </c>
      <c r="F21" s="6" t="s">
        <v>258</v>
      </c>
      <c r="G21" s="6" t="s">
        <v>263</v>
      </c>
      <c r="H21" s="6" t="s">
        <v>588</v>
      </c>
      <c r="I21" s="9" t="s">
        <v>563</v>
      </c>
      <c r="J21" s="9"/>
      <c r="K21" s="9"/>
      <c r="L21" s="9"/>
      <c r="M21" s="11"/>
      <c r="N21" s="18"/>
      <c r="O21" s="18"/>
      <c r="P21" s="11" t="str">
        <f aca="false">IFERROR(INDEX(WBS!$O$6:$O$59,MATCH($F21,WBS!$A$6:$A$59,0)),"")</f>
        <v>セキュリティ担当</v>
      </c>
    </row>
    <row r="22" customFormat="false" ht="39.75" hidden="false" customHeight="true" outlineLevel="0" collapsed="false">
      <c r="A22" s="6" t="n">
        <v>19</v>
      </c>
      <c r="B22" s="6" t="n">
        <v>31</v>
      </c>
      <c r="C22" s="6" t="s">
        <v>568</v>
      </c>
      <c r="D22" s="6" t="s">
        <v>586</v>
      </c>
      <c r="E22" s="6" t="s">
        <v>591</v>
      </c>
      <c r="F22" s="6" t="s">
        <v>258</v>
      </c>
      <c r="G22" s="6" t="s">
        <v>263</v>
      </c>
      <c r="H22" s="6" t="s">
        <v>588</v>
      </c>
      <c r="I22" s="9" t="s">
        <v>563</v>
      </c>
      <c r="J22" s="9"/>
      <c r="K22" s="9"/>
      <c r="L22" s="9"/>
      <c r="M22" s="11"/>
      <c r="N22" s="18"/>
      <c r="O22" s="18"/>
      <c r="P22" s="11" t="str">
        <f aca="false">IFERROR(INDEX(WBS!$O$6:$O$59,MATCH($F22,WBS!$A$6:$A$59,0)),"")</f>
        <v>セキュリティ担当</v>
      </c>
    </row>
    <row r="23" customFormat="false" ht="49.5" hidden="false" customHeight="true" outlineLevel="0" collapsed="false">
      <c r="A23" s="6" t="n">
        <v>20</v>
      </c>
      <c r="B23" s="6" t="n">
        <v>154</v>
      </c>
      <c r="C23" s="6" t="s">
        <v>592</v>
      </c>
      <c r="D23" s="6" t="s">
        <v>569</v>
      </c>
      <c r="E23" s="6" t="s">
        <v>593</v>
      </c>
      <c r="F23" s="6" t="s">
        <v>317</v>
      </c>
      <c r="G23" s="6" t="s">
        <v>571</v>
      </c>
      <c r="H23" s="6" t="s">
        <v>572</v>
      </c>
      <c r="I23" s="9" t="s">
        <v>563</v>
      </c>
      <c r="J23" s="9"/>
      <c r="K23" s="9"/>
      <c r="L23" s="9"/>
      <c r="M23" s="11"/>
      <c r="N23" s="18"/>
      <c r="O23" s="18"/>
      <c r="P23" s="11" t="str">
        <f aca="false">IFERROR(INDEX(WBS!$O$6:$O$59,MATCH($F23,WBS!$A$6:$A$59,0)),"")</f>
        <v>AD／Windows管理者</v>
      </c>
    </row>
    <row r="24" customFormat="false" ht="78" hidden="false" customHeight="true" outlineLevel="0" collapsed="false">
      <c r="A24" s="6" t="n">
        <v>21</v>
      </c>
      <c r="B24" s="6" t="n">
        <v>116</v>
      </c>
      <c r="C24" s="6" t="s">
        <v>594</v>
      </c>
      <c r="D24" s="6" t="s">
        <v>595</v>
      </c>
      <c r="E24" s="6" t="s">
        <v>596</v>
      </c>
      <c r="F24" s="6" t="s">
        <v>477</v>
      </c>
      <c r="G24" s="6" t="s">
        <v>597</v>
      </c>
      <c r="H24" s="6" t="s">
        <v>598</v>
      </c>
      <c r="I24" s="9" t="s">
        <v>563</v>
      </c>
      <c r="J24" s="9"/>
      <c r="K24" s="9"/>
      <c r="L24" s="9"/>
      <c r="M24" s="11"/>
      <c r="N24" s="18"/>
      <c r="O24" s="18"/>
      <c r="P24" s="11" t="str">
        <f aca="false">IFERROR(INDEX(WBS!$O$6:$O$59,MATCH($F24,WBS!$A$6:$A$59,0)),"")</f>
        <v>各運用責任者・人事・法務</v>
      </c>
    </row>
    <row r="25" customFormat="false" ht="39.75" hidden="false" customHeight="true" outlineLevel="0" collapsed="false">
      <c r="A25" s="6" t="n">
        <v>22</v>
      </c>
      <c r="B25" s="6" t="n">
        <v>132</v>
      </c>
      <c r="C25" s="6" t="s">
        <v>599</v>
      </c>
      <c r="D25" s="6" t="s">
        <v>600</v>
      </c>
      <c r="E25" s="6" t="s">
        <v>601</v>
      </c>
      <c r="F25" s="6" t="s">
        <v>198</v>
      </c>
      <c r="G25" s="6" t="s">
        <v>193</v>
      </c>
      <c r="H25" s="6" t="s">
        <v>602</v>
      </c>
      <c r="I25" s="9" t="s">
        <v>563</v>
      </c>
      <c r="J25" s="9"/>
      <c r="K25" s="9"/>
      <c r="L25" s="9"/>
      <c r="M25" s="11"/>
      <c r="N25" s="18"/>
      <c r="O25" s="18"/>
      <c r="P25" s="11" t="str">
        <f aca="false">IFERROR(INDEX(WBS!$O$6:$O$59,MATCH($F25,WBS!$A$6:$A$59,0)),"")</f>
        <v>IdP管理者・人事窓口</v>
      </c>
    </row>
    <row r="26" customFormat="false" ht="39.75" hidden="false" customHeight="true" outlineLevel="0" collapsed="false">
      <c r="A26" s="6" t="n">
        <v>23</v>
      </c>
      <c r="B26" s="6" t="n">
        <v>78</v>
      </c>
      <c r="C26" s="6" t="s">
        <v>603</v>
      </c>
      <c r="D26" s="6" t="s">
        <v>600</v>
      </c>
      <c r="E26" s="6" t="s">
        <v>604</v>
      </c>
      <c r="F26" s="6" t="s">
        <v>176</v>
      </c>
      <c r="G26" s="6" t="s">
        <v>163</v>
      </c>
      <c r="H26" s="6" t="s">
        <v>605</v>
      </c>
      <c r="I26" s="9" t="s">
        <v>563</v>
      </c>
      <c r="J26" s="9"/>
      <c r="K26" s="9"/>
      <c r="L26" s="9"/>
      <c r="M26" s="11"/>
      <c r="N26" s="18"/>
      <c r="O26" s="18"/>
      <c r="P26" s="11" t="str">
        <f aca="false">IFERROR(INDEX(WBS!$O$6:$O$59,MATCH($F26,WBS!$A$6:$A$59,0)),"")</f>
        <v>IdP管理者・SOC</v>
      </c>
    </row>
    <row r="27" customFormat="false" ht="39.75" hidden="false" customHeight="true" outlineLevel="0" collapsed="false">
      <c r="A27" s="6" t="n">
        <v>24</v>
      </c>
      <c r="B27" s="6" t="n">
        <v>75</v>
      </c>
      <c r="C27" s="6" t="s">
        <v>606</v>
      </c>
      <c r="D27" s="6" t="s">
        <v>600</v>
      </c>
      <c r="E27" s="6" t="s">
        <v>607</v>
      </c>
      <c r="F27" s="6" t="s">
        <v>176</v>
      </c>
      <c r="G27" s="6" t="s">
        <v>163</v>
      </c>
      <c r="H27" s="6" t="s">
        <v>605</v>
      </c>
      <c r="I27" s="9" t="s">
        <v>563</v>
      </c>
      <c r="J27" s="9"/>
      <c r="K27" s="9"/>
      <c r="L27" s="9"/>
      <c r="M27" s="11"/>
      <c r="N27" s="18"/>
      <c r="O27" s="18"/>
      <c r="P27" s="11" t="str">
        <f aca="false">IFERROR(INDEX(WBS!$O$6:$O$59,MATCH($F27,WBS!$A$6:$A$59,0)),"")</f>
        <v>IdP管理者・SOC</v>
      </c>
    </row>
    <row r="28" customFormat="false" ht="39.75" hidden="false" customHeight="true" outlineLevel="0" collapsed="false">
      <c r="A28" s="6" t="n">
        <v>25</v>
      </c>
      <c r="B28" s="6" t="n">
        <v>81</v>
      </c>
      <c r="C28" s="6" t="s">
        <v>606</v>
      </c>
      <c r="D28" s="6" t="s">
        <v>608</v>
      </c>
      <c r="E28" s="6" t="s">
        <v>609</v>
      </c>
      <c r="F28" s="6" t="s">
        <v>176</v>
      </c>
      <c r="G28" s="6" t="s">
        <v>163</v>
      </c>
      <c r="H28" s="6" t="s">
        <v>605</v>
      </c>
      <c r="I28" s="9" t="s">
        <v>563</v>
      </c>
      <c r="J28" s="9"/>
      <c r="K28" s="9"/>
      <c r="L28" s="9"/>
      <c r="M28" s="11"/>
      <c r="N28" s="18"/>
      <c r="O28" s="18"/>
      <c r="P28" s="11" t="str">
        <f aca="false">IFERROR(INDEX(WBS!$O$6:$O$59,MATCH($F28,WBS!$A$6:$A$59,0)),"")</f>
        <v>IdP管理者・SOC</v>
      </c>
    </row>
    <row r="29" customFormat="false" ht="39.75" hidden="false" customHeight="true" outlineLevel="0" collapsed="false">
      <c r="A29" s="6" t="n">
        <v>26</v>
      </c>
      <c r="B29" s="6" t="n">
        <v>82</v>
      </c>
      <c r="C29" s="6" t="s">
        <v>606</v>
      </c>
      <c r="D29" s="6" t="s">
        <v>608</v>
      </c>
      <c r="E29" s="6" t="s">
        <v>610</v>
      </c>
      <c r="F29" s="6" t="s">
        <v>176</v>
      </c>
      <c r="G29" s="6" t="s">
        <v>163</v>
      </c>
      <c r="H29" s="6" t="s">
        <v>605</v>
      </c>
      <c r="I29" s="9" t="s">
        <v>563</v>
      </c>
      <c r="J29" s="9"/>
      <c r="K29" s="9"/>
      <c r="L29" s="9"/>
      <c r="M29" s="11"/>
      <c r="N29" s="18"/>
      <c r="O29" s="18"/>
      <c r="P29" s="11" t="str">
        <f aca="false">IFERROR(INDEX(WBS!$O$6:$O$59,MATCH($F29,WBS!$A$6:$A$59,0)),"")</f>
        <v>IdP管理者・SOC</v>
      </c>
    </row>
    <row r="30" customFormat="false" ht="39.75" hidden="false" customHeight="true" outlineLevel="0" collapsed="false">
      <c r="A30" s="6" t="n">
        <v>27</v>
      </c>
      <c r="B30" s="6" t="n">
        <v>86</v>
      </c>
      <c r="C30" s="6" t="s">
        <v>606</v>
      </c>
      <c r="D30" s="6" t="s">
        <v>608</v>
      </c>
      <c r="E30" s="6" t="s">
        <v>611</v>
      </c>
      <c r="F30" s="6" t="s">
        <v>176</v>
      </c>
      <c r="G30" s="6" t="s">
        <v>163</v>
      </c>
      <c r="H30" s="6" t="s">
        <v>605</v>
      </c>
      <c r="I30" s="9" t="s">
        <v>563</v>
      </c>
      <c r="J30" s="9"/>
      <c r="K30" s="9"/>
      <c r="L30" s="9"/>
      <c r="M30" s="11"/>
      <c r="N30" s="18"/>
      <c r="O30" s="18"/>
      <c r="P30" s="11" t="str">
        <f aca="false">IFERROR(INDEX(WBS!$O$6:$O$59,MATCH($F30,WBS!$A$6:$A$59,0)),"")</f>
        <v>IdP管理者・SOC</v>
      </c>
    </row>
    <row r="31" customFormat="false" ht="49.5" hidden="false" customHeight="true" outlineLevel="0" collapsed="false">
      <c r="A31" s="6" t="n">
        <v>28</v>
      </c>
      <c r="B31" s="6" t="n">
        <v>130</v>
      </c>
      <c r="C31" s="6" t="s">
        <v>612</v>
      </c>
      <c r="D31" s="6" t="s">
        <v>613</v>
      </c>
      <c r="E31" s="6" t="s">
        <v>614</v>
      </c>
      <c r="F31" s="6" t="s">
        <v>317</v>
      </c>
      <c r="G31" s="6" t="s">
        <v>571</v>
      </c>
      <c r="H31" s="6" t="s">
        <v>615</v>
      </c>
      <c r="I31" s="9" t="s">
        <v>563</v>
      </c>
      <c r="J31" s="9"/>
      <c r="K31" s="9"/>
      <c r="L31" s="9"/>
      <c r="M31" s="11"/>
      <c r="N31" s="18"/>
      <c r="O31" s="18"/>
      <c r="P31" s="11" t="str">
        <f aca="false">IFERROR(INDEX(WBS!$O$6:$O$59,MATCH($F31,WBS!$A$6:$A$59,0)),"")</f>
        <v>AD／Windows管理者</v>
      </c>
    </row>
    <row r="32" customFormat="false" ht="49.5" hidden="false" customHeight="true" outlineLevel="0" collapsed="false">
      <c r="A32" s="6" t="n">
        <v>29</v>
      </c>
      <c r="B32" s="6" t="n">
        <v>131</v>
      </c>
      <c r="C32" s="6" t="s">
        <v>612</v>
      </c>
      <c r="D32" s="6" t="s">
        <v>613</v>
      </c>
      <c r="E32" s="6" t="s">
        <v>616</v>
      </c>
      <c r="F32" s="6" t="s">
        <v>317</v>
      </c>
      <c r="G32" s="6" t="s">
        <v>571</v>
      </c>
      <c r="H32" s="6" t="s">
        <v>615</v>
      </c>
      <c r="I32" s="9" t="s">
        <v>563</v>
      </c>
      <c r="J32" s="9"/>
      <c r="K32" s="9"/>
      <c r="L32" s="9"/>
      <c r="M32" s="11"/>
      <c r="N32" s="18"/>
      <c r="O32" s="18"/>
      <c r="P32" s="11" t="str">
        <f aca="false">IFERROR(INDEX(WBS!$O$6:$O$59,MATCH($F32,WBS!$A$6:$A$59,0)),"")</f>
        <v>AD／Windows管理者</v>
      </c>
    </row>
    <row r="33" customFormat="false" ht="49.5" hidden="false" customHeight="true" outlineLevel="0" collapsed="false">
      <c r="A33" s="6" t="n">
        <v>30</v>
      </c>
      <c r="B33" s="6" t="n">
        <v>156</v>
      </c>
      <c r="C33" s="6" t="s">
        <v>612</v>
      </c>
      <c r="D33" s="6" t="s">
        <v>569</v>
      </c>
      <c r="E33" s="6" t="s">
        <v>617</v>
      </c>
      <c r="F33" s="6" t="s">
        <v>317</v>
      </c>
      <c r="G33" s="6" t="s">
        <v>571</v>
      </c>
      <c r="H33" s="6" t="s">
        <v>572</v>
      </c>
      <c r="I33" s="9" t="s">
        <v>563</v>
      </c>
      <c r="J33" s="9"/>
      <c r="K33" s="9"/>
      <c r="L33" s="9"/>
      <c r="M33" s="11"/>
      <c r="N33" s="18"/>
      <c r="O33" s="18"/>
      <c r="P33" s="11" t="str">
        <f aca="false">IFERROR(INDEX(WBS!$O$6:$O$59,MATCH($F33,WBS!$A$6:$A$59,0)),"")</f>
        <v>AD／Windows管理者</v>
      </c>
    </row>
    <row r="34" customFormat="false" ht="49.5" hidden="false" customHeight="true" outlineLevel="0" collapsed="false">
      <c r="A34" s="6" t="n">
        <v>31</v>
      </c>
      <c r="B34" s="6" t="n">
        <v>157</v>
      </c>
      <c r="C34" s="6" t="s">
        <v>612</v>
      </c>
      <c r="D34" s="6" t="s">
        <v>569</v>
      </c>
      <c r="E34" s="6" t="s">
        <v>618</v>
      </c>
      <c r="F34" s="6" t="s">
        <v>317</v>
      </c>
      <c r="G34" s="6" t="s">
        <v>571</v>
      </c>
      <c r="H34" s="6" t="s">
        <v>572</v>
      </c>
      <c r="I34" s="9" t="s">
        <v>563</v>
      </c>
      <c r="J34" s="9"/>
      <c r="K34" s="9"/>
      <c r="L34" s="9"/>
      <c r="M34" s="11"/>
      <c r="N34" s="18"/>
      <c r="O34" s="18"/>
      <c r="P34" s="11" t="str">
        <f aca="false">IFERROR(INDEX(WBS!$O$6:$O$59,MATCH($F34,WBS!$A$6:$A$59,0)),"")</f>
        <v>AD／Windows管理者</v>
      </c>
    </row>
    <row r="35" customFormat="false" ht="49.5" hidden="false" customHeight="true" outlineLevel="0" collapsed="false">
      <c r="A35" s="6" t="n">
        <v>32</v>
      </c>
      <c r="B35" s="6" t="n">
        <v>158</v>
      </c>
      <c r="C35" s="6" t="s">
        <v>612</v>
      </c>
      <c r="D35" s="6" t="s">
        <v>569</v>
      </c>
      <c r="E35" s="6" t="s">
        <v>619</v>
      </c>
      <c r="F35" s="6" t="s">
        <v>317</v>
      </c>
      <c r="G35" s="6" t="s">
        <v>571</v>
      </c>
      <c r="H35" s="6" t="s">
        <v>572</v>
      </c>
      <c r="I35" s="9" t="s">
        <v>563</v>
      </c>
      <c r="J35" s="9"/>
      <c r="K35" s="9"/>
      <c r="L35" s="9"/>
      <c r="M35" s="11"/>
      <c r="N35" s="18"/>
      <c r="O35" s="18"/>
      <c r="P35" s="11" t="str">
        <f aca="false">IFERROR(INDEX(WBS!$O$6:$O$59,MATCH($F35,WBS!$A$6:$A$59,0)),"")</f>
        <v>AD／Windows管理者</v>
      </c>
    </row>
    <row r="36" customFormat="false" ht="49.5" hidden="false" customHeight="true" outlineLevel="0" collapsed="false">
      <c r="A36" s="6" t="n">
        <v>33</v>
      </c>
      <c r="B36" s="6" t="n">
        <v>162</v>
      </c>
      <c r="C36" s="6" t="s">
        <v>612</v>
      </c>
      <c r="D36" s="6" t="s">
        <v>569</v>
      </c>
      <c r="E36" s="6" t="s">
        <v>620</v>
      </c>
      <c r="F36" s="6" t="s">
        <v>317</v>
      </c>
      <c r="G36" s="6" t="s">
        <v>571</v>
      </c>
      <c r="H36" s="6" t="s">
        <v>572</v>
      </c>
      <c r="I36" s="9" t="s">
        <v>563</v>
      </c>
      <c r="J36" s="9"/>
      <c r="K36" s="9"/>
      <c r="L36" s="9"/>
      <c r="M36" s="11"/>
      <c r="N36" s="18"/>
      <c r="O36" s="18"/>
      <c r="P36" s="11" t="str">
        <f aca="false">IFERROR(INDEX(WBS!$O$6:$O$59,MATCH($F36,WBS!$A$6:$A$59,0)),"")</f>
        <v>AD／Windows管理者</v>
      </c>
    </row>
    <row r="37" customFormat="false" ht="63.75" hidden="false" customHeight="true" outlineLevel="0" collapsed="false">
      <c r="A37" s="6" t="n">
        <v>34</v>
      </c>
      <c r="B37" s="6" t="n">
        <v>146</v>
      </c>
      <c r="C37" s="6" t="s">
        <v>612</v>
      </c>
      <c r="D37" s="6" t="s">
        <v>621</v>
      </c>
      <c r="E37" s="6" t="s">
        <v>622</v>
      </c>
      <c r="F37" s="6" t="s">
        <v>317</v>
      </c>
      <c r="G37" s="6" t="s">
        <v>571</v>
      </c>
      <c r="H37" s="6" t="s">
        <v>615</v>
      </c>
      <c r="I37" s="9" t="s">
        <v>563</v>
      </c>
      <c r="J37" s="9"/>
      <c r="K37" s="9"/>
      <c r="L37" s="9"/>
      <c r="M37" s="11"/>
      <c r="N37" s="18"/>
      <c r="O37" s="18"/>
      <c r="P37" s="11" t="str">
        <f aca="false">IFERROR(INDEX(WBS!$O$6:$O$59,MATCH($F37,WBS!$A$6:$A$59,0)),"")</f>
        <v>AD／Windows管理者</v>
      </c>
    </row>
    <row r="38" customFormat="false" ht="63.75" hidden="false" customHeight="true" outlineLevel="0" collapsed="false">
      <c r="A38" s="6" t="n">
        <v>35</v>
      </c>
      <c r="B38" s="6" t="n">
        <v>76</v>
      </c>
      <c r="C38" s="6" t="s">
        <v>612</v>
      </c>
      <c r="D38" s="6" t="s">
        <v>600</v>
      </c>
      <c r="E38" s="6" t="s">
        <v>623</v>
      </c>
      <c r="F38" s="6" t="s">
        <v>187</v>
      </c>
      <c r="G38" s="6" t="s">
        <v>193</v>
      </c>
      <c r="H38" s="6" t="s">
        <v>624</v>
      </c>
      <c r="I38" s="9" t="s">
        <v>563</v>
      </c>
      <c r="J38" s="9"/>
      <c r="K38" s="9"/>
      <c r="L38" s="9"/>
      <c r="M38" s="11"/>
      <c r="N38" s="18"/>
      <c r="O38" s="18"/>
      <c r="P38" s="11" t="str">
        <f aca="false">IFERROR(INDEX(WBS!$O$6:$O$59,MATCH($F38,WBS!$A$6:$A$59,0)),"")</f>
        <v>Workspace管理者・委託先管理担当</v>
      </c>
    </row>
    <row r="39" customFormat="false" ht="39.75" hidden="false" customHeight="true" outlineLevel="0" collapsed="false">
      <c r="A39" s="6" t="n">
        <v>36</v>
      </c>
      <c r="B39" s="6" t="n">
        <v>80</v>
      </c>
      <c r="C39" s="6" t="s">
        <v>612</v>
      </c>
      <c r="D39" s="6" t="s">
        <v>600</v>
      </c>
      <c r="E39" s="6" t="s">
        <v>625</v>
      </c>
      <c r="F39" s="6" t="s">
        <v>187</v>
      </c>
      <c r="G39" s="6" t="s">
        <v>193</v>
      </c>
      <c r="H39" s="6" t="s">
        <v>624</v>
      </c>
      <c r="I39" s="9" t="s">
        <v>563</v>
      </c>
      <c r="J39" s="9"/>
      <c r="K39" s="9"/>
      <c r="L39" s="9"/>
      <c r="M39" s="11"/>
      <c r="N39" s="18"/>
      <c r="O39" s="18"/>
      <c r="P39" s="11" t="str">
        <f aca="false">IFERROR(INDEX(WBS!$O$6:$O$59,MATCH($F39,WBS!$A$6:$A$59,0)),"")</f>
        <v>Workspace管理者・委託先管理担当</v>
      </c>
    </row>
    <row r="40" customFormat="false" ht="49.5" hidden="false" customHeight="true" outlineLevel="0" collapsed="false">
      <c r="A40" s="6" t="n">
        <v>37</v>
      </c>
      <c r="B40" s="6" t="n">
        <v>87</v>
      </c>
      <c r="C40" s="6" t="s">
        <v>612</v>
      </c>
      <c r="D40" s="6" t="s">
        <v>600</v>
      </c>
      <c r="E40" s="6" t="s">
        <v>626</v>
      </c>
      <c r="F40" s="6" t="s">
        <v>317</v>
      </c>
      <c r="G40" s="6" t="s">
        <v>571</v>
      </c>
      <c r="H40" s="6" t="s">
        <v>615</v>
      </c>
      <c r="I40" s="9" t="s">
        <v>563</v>
      </c>
      <c r="J40" s="9"/>
      <c r="K40" s="9"/>
      <c r="L40" s="9"/>
      <c r="M40" s="11"/>
      <c r="N40" s="18"/>
      <c r="O40" s="18"/>
      <c r="P40" s="11" t="str">
        <f aca="false">IFERROR(INDEX(WBS!$O$6:$O$59,MATCH($F40,WBS!$A$6:$A$59,0)),"")</f>
        <v>AD／Windows管理者</v>
      </c>
    </row>
    <row r="41" customFormat="false" ht="39.75" hidden="false" customHeight="true" outlineLevel="0" collapsed="false">
      <c r="A41" s="6" t="n">
        <v>38</v>
      </c>
      <c r="B41" s="6" t="n">
        <v>92</v>
      </c>
      <c r="C41" s="6" t="s">
        <v>612</v>
      </c>
      <c r="D41" s="6" t="s">
        <v>600</v>
      </c>
      <c r="E41" s="6" t="s">
        <v>627</v>
      </c>
      <c r="F41" s="6" t="s">
        <v>187</v>
      </c>
      <c r="G41" s="6" t="s">
        <v>193</v>
      </c>
      <c r="H41" s="6" t="s">
        <v>624</v>
      </c>
      <c r="I41" s="9" t="s">
        <v>563</v>
      </c>
      <c r="J41" s="9"/>
      <c r="K41" s="9"/>
      <c r="L41" s="9"/>
      <c r="M41" s="11"/>
      <c r="N41" s="18"/>
      <c r="O41" s="18"/>
      <c r="P41" s="11" t="str">
        <f aca="false">IFERROR(INDEX(WBS!$O$6:$O$59,MATCH($F41,WBS!$A$6:$A$59,0)),"")</f>
        <v>Workspace管理者・委託先管理担当</v>
      </c>
    </row>
    <row r="42" customFormat="false" ht="39.75" hidden="false" customHeight="true" outlineLevel="0" collapsed="false">
      <c r="A42" s="6" t="n">
        <v>39</v>
      </c>
      <c r="B42" s="6" t="n">
        <v>128</v>
      </c>
      <c r="C42" s="6" t="s">
        <v>612</v>
      </c>
      <c r="D42" s="6" t="s">
        <v>600</v>
      </c>
      <c r="E42" s="6" t="s">
        <v>628</v>
      </c>
      <c r="F42" s="6" t="s">
        <v>198</v>
      </c>
      <c r="G42" s="6" t="s">
        <v>193</v>
      </c>
      <c r="H42" s="6" t="s">
        <v>602</v>
      </c>
      <c r="I42" s="9" t="s">
        <v>563</v>
      </c>
      <c r="J42" s="9"/>
      <c r="K42" s="9"/>
      <c r="L42" s="9"/>
      <c r="M42" s="11"/>
      <c r="N42" s="18"/>
      <c r="O42" s="18"/>
      <c r="P42" s="11" t="str">
        <f aca="false">IFERROR(INDEX(WBS!$O$6:$O$59,MATCH($F42,WBS!$A$6:$A$59,0)),"")</f>
        <v>IdP管理者・人事窓口</v>
      </c>
    </row>
    <row r="43" customFormat="false" ht="49.5" hidden="false" customHeight="true" outlineLevel="0" collapsed="false">
      <c r="A43" s="6" t="n">
        <v>40</v>
      </c>
      <c r="B43" s="6" t="n">
        <v>117</v>
      </c>
      <c r="C43" s="6" t="s">
        <v>612</v>
      </c>
      <c r="D43" s="6" t="s">
        <v>595</v>
      </c>
      <c r="E43" s="6" t="s">
        <v>629</v>
      </c>
      <c r="F43" s="6" t="s">
        <v>477</v>
      </c>
      <c r="G43" s="6" t="s">
        <v>597</v>
      </c>
      <c r="H43" s="6" t="s">
        <v>598</v>
      </c>
      <c r="I43" s="9" t="s">
        <v>563</v>
      </c>
      <c r="J43" s="9"/>
      <c r="K43" s="9"/>
      <c r="L43" s="9"/>
      <c r="M43" s="11"/>
      <c r="N43" s="18"/>
      <c r="O43" s="18"/>
      <c r="P43" s="11" t="str">
        <f aca="false">IFERROR(INDEX(WBS!$O$6:$O$59,MATCH($F43,WBS!$A$6:$A$59,0)),"")</f>
        <v>各運用責任者・人事・法務</v>
      </c>
    </row>
    <row r="44" customFormat="false" ht="49.5" hidden="false" customHeight="true" outlineLevel="0" collapsed="false">
      <c r="A44" s="6" t="n">
        <v>41</v>
      </c>
      <c r="B44" s="6" t="n">
        <v>91</v>
      </c>
      <c r="C44" s="6" t="s">
        <v>612</v>
      </c>
      <c r="D44" s="6" t="s">
        <v>630</v>
      </c>
      <c r="E44" s="6" t="s">
        <v>631</v>
      </c>
      <c r="F44" s="6" t="s">
        <v>335</v>
      </c>
      <c r="G44" s="6" t="s">
        <v>571</v>
      </c>
      <c r="H44" s="6" t="s">
        <v>632</v>
      </c>
      <c r="I44" s="9" t="s">
        <v>563</v>
      </c>
      <c r="J44" s="9"/>
      <c r="K44" s="9"/>
      <c r="L44" s="9"/>
      <c r="M44" s="11"/>
      <c r="N44" s="18"/>
      <c r="O44" s="18"/>
      <c r="P44" s="11" t="str">
        <f aca="false">IFERROR(INDEX(WBS!$O$6:$O$59,MATCH($F44,WBS!$A$6:$A$59,0)),"")</f>
        <v>VDI・リモートアクセス基盤担当</v>
      </c>
    </row>
    <row r="45" customFormat="false" ht="39.75" hidden="false" customHeight="true" outlineLevel="0" collapsed="false">
      <c r="A45" s="6" t="n">
        <v>42</v>
      </c>
      <c r="B45" s="6" t="n">
        <v>129</v>
      </c>
      <c r="C45" s="6" t="s">
        <v>612</v>
      </c>
      <c r="D45" s="6" t="s">
        <v>633</v>
      </c>
      <c r="E45" s="6" t="s">
        <v>634</v>
      </c>
      <c r="F45" s="6" t="s">
        <v>187</v>
      </c>
      <c r="G45" s="6" t="s">
        <v>193</v>
      </c>
      <c r="H45" s="6" t="s">
        <v>624</v>
      </c>
      <c r="I45" s="9" t="s">
        <v>563</v>
      </c>
      <c r="J45" s="9"/>
      <c r="K45" s="9"/>
      <c r="L45" s="9"/>
      <c r="M45" s="11"/>
      <c r="N45" s="18"/>
      <c r="O45" s="18"/>
      <c r="P45" s="11" t="str">
        <f aca="false">IFERROR(INDEX(WBS!$O$6:$O$59,MATCH($F45,WBS!$A$6:$A$59,0)),"")</f>
        <v>Workspace管理者・委託先管理担当</v>
      </c>
    </row>
    <row r="46" customFormat="false" ht="49.5" hidden="false" customHeight="true" outlineLevel="0" collapsed="false">
      <c r="A46" s="6" t="n">
        <v>43</v>
      </c>
      <c r="B46" s="6" t="n">
        <v>88</v>
      </c>
      <c r="C46" s="6" t="s">
        <v>612</v>
      </c>
      <c r="D46" s="6" t="s">
        <v>635</v>
      </c>
      <c r="E46" s="6" t="s">
        <v>636</v>
      </c>
      <c r="F46" s="6" t="s">
        <v>317</v>
      </c>
      <c r="G46" s="6" t="s">
        <v>571</v>
      </c>
      <c r="H46" s="6" t="s">
        <v>615</v>
      </c>
      <c r="I46" s="9" t="s">
        <v>563</v>
      </c>
      <c r="J46" s="9"/>
      <c r="K46" s="9"/>
      <c r="L46" s="9"/>
      <c r="M46" s="11"/>
      <c r="N46" s="18"/>
      <c r="O46" s="18"/>
      <c r="P46" s="11" t="str">
        <f aca="false">IFERROR(INDEX(WBS!$O$6:$O$59,MATCH($F46,WBS!$A$6:$A$59,0)),"")</f>
        <v>AD／Windows管理者</v>
      </c>
    </row>
    <row r="47" customFormat="false" ht="39.75" hidden="false" customHeight="true" outlineLevel="0" collapsed="false">
      <c r="A47" s="6" t="n">
        <v>44</v>
      </c>
      <c r="B47" s="6" t="n">
        <v>124</v>
      </c>
      <c r="C47" s="6" t="s">
        <v>612</v>
      </c>
      <c r="D47" s="6" t="s">
        <v>637</v>
      </c>
      <c r="E47" s="6" t="s">
        <v>638</v>
      </c>
      <c r="F47" s="6" t="s">
        <v>187</v>
      </c>
      <c r="G47" s="6" t="s">
        <v>193</v>
      </c>
      <c r="H47" s="6" t="s">
        <v>624</v>
      </c>
      <c r="I47" s="9" t="s">
        <v>563</v>
      </c>
      <c r="J47" s="9"/>
      <c r="K47" s="9"/>
      <c r="L47" s="9"/>
      <c r="M47" s="11"/>
      <c r="N47" s="18"/>
      <c r="O47" s="18"/>
      <c r="P47" s="11" t="str">
        <f aca="false">IFERROR(INDEX(WBS!$O$6:$O$59,MATCH($F47,WBS!$A$6:$A$59,0)),"")</f>
        <v>Workspace管理者・委託先管理担当</v>
      </c>
    </row>
    <row r="48" customFormat="false" ht="49.5" hidden="false" customHeight="true" outlineLevel="0" collapsed="false">
      <c r="A48" s="6" t="n">
        <v>45</v>
      </c>
      <c r="B48" s="6" t="n">
        <v>89</v>
      </c>
      <c r="C48" s="6" t="s">
        <v>612</v>
      </c>
      <c r="D48" s="6" t="s">
        <v>639</v>
      </c>
      <c r="E48" s="6" t="s">
        <v>640</v>
      </c>
      <c r="F48" s="6" t="s">
        <v>317</v>
      </c>
      <c r="G48" s="6" t="s">
        <v>571</v>
      </c>
      <c r="H48" s="6" t="s">
        <v>615</v>
      </c>
      <c r="I48" s="9" t="s">
        <v>563</v>
      </c>
      <c r="J48" s="9"/>
      <c r="K48" s="9"/>
      <c r="L48" s="9"/>
      <c r="M48" s="11"/>
      <c r="N48" s="18"/>
      <c r="O48" s="18"/>
      <c r="P48" s="11" t="str">
        <f aca="false">IFERROR(INDEX(WBS!$O$6:$O$59,MATCH($F48,WBS!$A$6:$A$59,0)),"")</f>
        <v>AD／Windows管理者</v>
      </c>
    </row>
    <row r="49" customFormat="false" ht="39.75" hidden="false" customHeight="true" outlineLevel="0" collapsed="false">
      <c r="A49" s="6" t="n">
        <v>46</v>
      </c>
      <c r="B49" s="6" t="n">
        <v>79</v>
      </c>
      <c r="C49" s="6" t="s">
        <v>612</v>
      </c>
      <c r="D49" s="6" t="s">
        <v>641</v>
      </c>
      <c r="E49" s="6" t="s">
        <v>642</v>
      </c>
      <c r="F49" s="6" t="s">
        <v>187</v>
      </c>
      <c r="G49" s="6" t="s">
        <v>193</v>
      </c>
      <c r="H49" s="6" t="s">
        <v>624</v>
      </c>
      <c r="I49" s="9" t="s">
        <v>563</v>
      </c>
      <c r="J49" s="9"/>
      <c r="K49" s="9"/>
      <c r="L49" s="9"/>
      <c r="M49" s="11"/>
      <c r="N49" s="18"/>
      <c r="O49" s="18"/>
      <c r="P49" s="11" t="str">
        <f aca="false">IFERROR(INDEX(WBS!$O$6:$O$59,MATCH($F49,WBS!$A$6:$A$59,0)),"")</f>
        <v>Workspace管理者・委託先管理担当</v>
      </c>
    </row>
    <row r="50" customFormat="false" ht="78" hidden="false" customHeight="true" outlineLevel="0" collapsed="false">
      <c r="A50" s="6" t="n">
        <v>47</v>
      </c>
      <c r="B50" s="6" t="n">
        <v>168</v>
      </c>
      <c r="C50" s="6" t="s">
        <v>643</v>
      </c>
      <c r="D50" s="6" t="s">
        <v>644</v>
      </c>
      <c r="E50" s="6" t="s">
        <v>645</v>
      </c>
      <c r="F50" s="6" t="s">
        <v>317</v>
      </c>
      <c r="G50" s="6" t="s">
        <v>571</v>
      </c>
      <c r="H50" s="6" t="s">
        <v>615</v>
      </c>
      <c r="I50" s="9" t="s">
        <v>563</v>
      </c>
      <c r="J50" s="9"/>
      <c r="K50" s="9"/>
      <c r="L50" s="9"/>
      <c r="M50" s="11"/>
      <c r="N50" s="18"/>
      <c r="O50" s="18"/>
      <c r="P50" s="11" t="str">
        <f aca="false">IFERROR(INDEX(WBS!$O$6:$O$59,MATCH($F50,WBS!$A$6:$A$59,0)),"")</f>
        <v>AD／Windows管理者</v>
      </c>
    </row>
    <row r="51" customFormat="false" ht="63.75" hidden="false" customHeight="true" outlineLevel="0" collapsed="false">
      <c r="A51" s="6" t="n">
        <v>48</v>
      </c>
      <c r="B51" s="6" t="n">
        <v>77</v>
      </c>
      <c r="C51" s="6" t="s">
        <v>643</v>
      </c>
      <c r="D51" s="6" t="s">
        <v>600</v>
      </c>
      <c r="E51" s="6" t="s">
        <v>646</v>
      </c>
      <c r="F51" s="6" t="s">
        <v>362</v>
      </c>
      <c r="G51" s="6" t="s">
        <v>647</v>
      </c>
      <c r="H51" s="6" t="s">
        <v>648</v>
      </c>
      <c r="I51" s="9" t="s">
        <v>563</v>
      </c>
      <c r="J51" s="9"/>
      <c r="K51" s="9"/>
      <c r="L51" s="9"/>
      <c r="M51" s="11"/>
      <c r="N51" s="18"/>
      <c r="O51" s="18"/>
      <c r="P51" s="11" t="str">
        <f aca="false">IFERROR(INDEX(WBS!$O$6:$O$59,MATCH($F51,WBS!$A$6:$A$59,0)),"")</f>
        <v>セキュリティ担当・販売店</v>
      </c>
    </row>
    <row r="52" customFormat="false" ht="39.75" hidden="false" customHeight="true" outlineLevel="0" collapsed="false">
      <c r="A52" s="6" t="n">
        <v>49</v>
      </c>
      <c r="B52" s="6" t="n">
        <v>23</v>
      </c>
      <c r="C52" s="6" t="s">
        <v>643</v>
      </c>
      <c r="D52" s="6" t="s">
        <v>649</v>
      </c>
      <c r="E52" s="6" t="s">
        <v>650</v>
      </c>
      <c r="F52" s="6" t="s">
        <v>362</v>
      </c>
      <c r="G52" s="6" t="s">
        <v>647</v>
      </c>
      <c r="H52" s="6" t="s">
        <v>648</v>
      </c>
      <c r="I52" s="9" t="s">
        <v>563</v>
      </c>
      <c r="J52" s="9"/>
      <c r="K52" s="9"/>
      <c r="L52" s="9"/>
      <c r="M52" s="11"/>
      <c r="N52" s="18"/>
      <c r="O52" s="18"/>
      <c r="P52" s="11" t="str">
        <f aca="false">IFERROR(INDEX(WBS!$O$6:$O$59,MATCH($F52,WBS!$A$6:$A$59,0)),"")</f>
        <v>セキュリティ担当・販売店</v>
      </c>
    </row>
    <row r="53" customFormat="false" ht="63.75" hidden="false" customHeight="true" outlineLevel="0" collapsed="false">
      <c r="A53" s="6" t="n">
        <v>50</v>
      </c>
      <c r="B53" s="6" t="n">
        <v>118</v>
      </c>
      <c r="C53" s="6" t="s">
        <v>643</v>
      </c>
      <c r="D53" s="6" t="s">
        <v>651</v>
      </c>
      <c r="E53" s="6" t="s">
        <v>652</v>
      </c>
      <c r="F53" s="6" t="s">
        <v>362</v>
      </c>
      <c r="G53" s="6" t="s">
        <v>647</v>
      </c>
      <c r="H53" s="6" t="s">
        <v>648</v>
      </c>
      <c r="I53" s="9" t="s">
        <v>563</v>
      </c>
      <c r="J53" s="9"/>
      <c r="K53" s="9"/>
      <c r="L53" s="9"/>
      <c r="M53" s="11"/>
      <c r="N53" s="18"/>
      <c r="O53" s="18"/>
      <c r="P53" s="11" t="str">
        <f aca="false">IFERROR(INDEX(WBS!$O$6:$O$59,MATCH($F53,WBS!$A$6:$A$59,0)),"")</f>
        <v>セキュリティ担当・販売店</v>
      </c>
    </row>
    <row r="54" customFormat="false" ht="39.75" hidden="false" customHeight="true" outlineLevel="0" collapsed="false">
      <c r="A54" s="6" t="n">
        <v>51</v>
      </c>
      <c r="B54" s="6" t="n">
        <v>126</v>
      </c>
      <c r="C54" s="6" t="s">
        <v>643</v>
      </c>
      <c r="D54" s="6" t="s">
        <v>651</v>
      </c>
      <c r="E54" s="6" t="s">
        <v>653</v>
      </c>
      <c r="F54" s="6" t="s">
        <v>362</v>
      </c>
      <c r="G54" s="6" t="s">
        <v>647</v>
      </c>
      <c r="H54" s="6" t="s">
        <v>648</v>
      </c>
      <c r="I54" s="9" t="s">
        <v>563</v>
      </c>
      <c r="J54" s="9"/>
      <c r="K54" s="9"/>
      <c r="L54" s="9"/>
      <c r="M54" s="11"/>
      <c r="N54" s="18"/>
      <c r="O54" s="18"/>
      <c r="P54" s="11" t="str">
        <f aca="false">IFERROR(INDEX(WBS!$O$6:$O$59,MATCH($F54,WBS!$A$6:$A$59,0)),"")</f>
        <v>セキュリティ担当・販売店</v>
      </c>
    </row>
    <row r="55" customFormat="false" ht="39.75" hidden="false" customHeight="true" outlineLevel="0" collapsed="false">
      <c r="A55" s="6" t="n">
        <v>52</v>
      </c>
      <c r="B55" s="6" t="n">
        <v>134</v>
      </c>
      <c r="C55" s="6" t="s">
        <v>643</v>
      </c>
      <c r="D55" s="6" t="s">
        <v>651</v>
      </c>
      <c r="E55" s="6" t="s">
        <v>654</v>
      </c>
      <c r="F55" s="6" t="s">
        <v>362</v>
      </c>
      <c r="G55" s="6" t="s">
        <v>647</v>
      </c>
      <c r="H55" s="6" t="s">
        <v>648</v>
      </c>
      <c r="I55" s="9" t="s">
        <v>563</v>
      </c>
      <c r="J55" s="9"/>
      <c r="K55" s="9"/>
      <c r="L55" s="9"/>
      <c r="M55" s="11"/>
      <c r="N55" s="18"/>
      <c r="O55" s="18"/>
      <c r="P55" s="11" t="str">
        <f aca="false">IFERROR(INDEX(WBS!$O$6:$O$59,MATCH($F55,WBS!$A$6:$A$59,0)),"")</f>
        <v>セキュリティ担当・販売店</v>
      </c>
    </row>
    <row r="56" customFormat="false" ht="39.75" hidden="false" customHeight="true" outlineLevel="0" collapsed="false">
      <c r="A56" s="6" t="n">
        <v>53</v>
      </c>
      <c r="B56" s="6" t="n">
        <v>135</v>
      </c>
      <c r="C56" s="6" t="s">
        <v>643</v>
      </c>
      <c r="D56" s="6" t="s">
        <v>651</v>
      </c>
      <c r="E56" s="6" t="s">
        <v>655</v>
      </c>
      <c r="F56" s="6" t="s">
        <v>477</v>
      </c>
      <c r="G56" s="6" t="s">
        <v>597</v>
      </c>
      <c r="H56" s="6" t="s">
        <v>598</v>
      </c>
      <c r="I56" s="9" t="s">
        <v>563</v>
      </c>
      <c r="J56" s="9"/>
      <c r="K56" s="9"/>
      <c r="L56" s="9"/>
      <c r="M56" s="11"/>
      <c r="N56" s="18"/>
      <c r="O56" s="18"/>
      <c r="P56" s="11" t="str">
        <f aca="false">IFERROR(INDEX(WBS!$O$6:$O$59,MATCH($F56,WBS!$A$6:$A$59,0)),"")</f>
        <v>各運用責任者・人事・法務</v>
      </c>
    </row>
    <row r="57" customFormat="false" ht="39.75" hidden="false" customHeight="true" outlineLevel="0" collapsed="false">
      <c r="A57" s="6" t="n">
        <v>54</v>
      </c>
      <c r="B57" s="6" t="n">
        <v>22</v>
      </c>
      <c r="C57" s="6" t="s">
        <v>643</v>
      </c>
      <c r="D57" s="6" t="s">
        <v>656</v>
      </c>
      <c r="E57" s="6" t="s">
        <v>657</v>
      </c>
      <c r="F57" s="6" t="s">
        <v>362</v>
      </c>
      <c r="G57" s="6" t="s">
        <v>647</v>
      </c>
      <c r="H57" s="6" t="s">
        <v>648</v>
      </c>
      <c r="I57" s="9" t="s">
        <v>563</v>
      </c>
      <c r="J57" s="9"/>
      <c r="K57" s="9"/>
      <c r="L57" s="9"/>
      <c r="M57" s="11"/>
      <c r="N57" s="18"/>
      <c r="O57" s="18"/>
      <c r="P57" s="11" t="str">
        <f aca="false">IFERROR(INDEX(WBS!$O$6:$O$59,MATCH($F57,WBS!$A$6:$A$59,0)),"")</f>
        <v>セキュリティ担当・販売店</v>
      </c>
    </row>
    <row r="58" customFormat="false" ht="49.5" hidden="false" customHeight="true" outlineLevel="0" collapsed="false">
      <c r="A58" s="6" t="n">
        <v>55</v>
      </c>
      <c r="B58" s="6" t="n">
        <v>143</v>
      </c>
      <c r="C58" s="6" t="s">
        <v>643</v>
      </c>
      <c r="D58" s="6" t="s">
        <v>656</v>
      </c>
      <c r="E58" s="6" t="s">
        <v>658</v>
      </c>
      <c r="F58" s="6" t="s">
        <v>362</v>
      </c>
      <c r="G58" s="6" t="s">
        <v>647</v>
      </c>
      <c r="H58" s="6" t="s">
        <v>648</v>
      </c>
      <c r="I58" s="9" t="s">
        <v>563</v>
      </c>
      <c r="J58" s="9"/>
      <c r="K58" s="9"/>
      <c r="L58" s="9"/>
      <c r="M58" s="11"/>
      <c r="N58" s="18"/>
      <c r="O58" s="18"/>
      <c r="P58" s="11" t="str">
        <f aca="false">IFERROR(INDEX(WBS!$O$6:$O$59,MATCH($F58,WBS!$A$6:$A$59,0)),"")</f>
        <v>セキュリティ担当・販売店</v>
      </c>
    </row>
    <row r="59" customFormat="false" ht="39.75" hidden="false" customHeight="true" outlineLevel="0" collapsed="false">
      <c r="A59" s="6" t="n">
        <v>56</v>
      </c>
      <c r="B59" s="6" t="n">
        <v>127</v>
      </c>
      <c r="C59" s="6" t="s">
        <v>643</v>
      </c>
      <c r="D59" s="6" t="s">
        <v>659</v>
      </c>
      <c r="E59" s="6" t="s">
        <v>660</v>
      </c>
      <c r="F59" s="6" t="s">
        <v>362</v>
      </c>
      <c r="G59" s="6" t="s">
        <v>647</v>
      </c>
      <c r="H59" s="6" t="s">
        <v>648</v>
      </c>
      <c r="I59" s="9" t="s">
        <v>563</v>
      </c>
      <c r="J59" s="9"/>
      <c r="K59" s="9"/>
      <c r="L59" s="9"/>
      <c r="M59" s="11"/>
      <c r="N59" s="18"/>
      <c r="O59" s="18"/>
      <c r="P59" s="11" t="str">
        <f aca="false">IFERROR(INDEX(WBS!$O$6:$O$59,MATCH($F59,WBS!$A$6:$A$59,0)),"")</f>
        <v>セキュリティ担当・販売店</v>
      </c>
    </row>
    <row r="60" customFormat="false" ht="39.75" hidden="false" customHeight="true" outlineLevel="0" collapsed="false">
      <c r="A60" s="6" t="n">
        <v>57</v>
      </c>
      <c r="B60" s="6" t="n">
        <v>49</v>
      </c>
      <c r="C60" s="6" t="s">
        <v>661</v>
      </c>
      <c r="D60" s="6" t="s">
        <v>662</v>
      </c>
      <c r="E60" s="6" t="s">
        <v>663</v>
      </c>
      <c r="F60" s="6" t="s">
        <v>258</v>
      </c>
      <c r="G60" s="6" t="s">
        <v>263</v>
      </c>
      <c r="H60" s="6" t="s">
        <v>588</v>
      </c>
      <c r="I60" s="9" t="s">
        <v>563</v>
      </c>
      <c r="J60" s="9"/>
      <c r="K60" s="9"/>
      <c r="L60" s="9"/>
      <c r="M60" s="11"/>
      <c r="N60" s="18"/>
      <c r="O60" s="18"/>
      <c r="P60" s="11" t="str">
        <f aca="false">IFERROR(INDEX(WBS!$O$6:$O$59,MATCH($F60,WBS!$A$6:$A$59,0)),"")</f>
        <v>セキュリティ担当</v>
      </c>
    </row>
    <row r="61" customFormat="false" ht="49.5" hidden="false" customHeight="true" outlineLevel="0" collapsed="false">
      <c r="A61" s="6" t="n">
        <v>58</v>
      </c>
      <c r="B61" s="6" t="n">
        <v>83</v>
      </c>
      <c r="C61" s="6" t="s">
        <v>661</v>
      </c>
      <c r="D61" s="6" t="s">
        <v>600</v>
      </c>
      <c r="E61" s="6" t="s">
        <v>664</v>
      </c>
      <c r="F61" s="6" t="s">
        <v>176</v>
      </c>
      <c r="G61" s="6" t="s">
        <v>163</v>
      </c>
      <c r="H61" s="6" t="s">
        <v>665</v>
      </c>
      <c r="I61" s="9" t="s">
        <v>563</v>
      </c>
      <c r="J61" s="9"/>
      <c r="K61" s="9"/>
      <c r="L61" s="9"/>
      <c r="M61" s="11" t="s">
        <v>419</v>
      </c>
      <c r="N61" s="18"/>
      <c r="O61" s="18"/>
      <c r="P61" s="11" t="str">
        <f aca="false">IFERROR(INDEX(WBS!$O$6:$O$59,MATCH($F61,WBS!$A$6:$A$59,0)),"")</f>
        <v>IdP管理者・SOC</v>
      </c>
    </row>
    <row r="62" customFormat="false" ht="49.5" hidden="false" customHeight="true" outlineLevel="0" collapsed="false">
      <c r="A62" s="6" t="n">
        <v>59</v>
      </c>
      <c r="B62" s="6" t="n">
        <v>84</v>
      </c>
      <c r="C62" s="6" t="s">
        <v>661</v>
      </c>
      <c r="D62" s="6" t="s">
        <v>600</v>
      </c>
      <c r="E62" s="6" t="s">
        <v>666</v>
      </c>
      <c r="F62" s="6" t="s">
        <v>176</v>
      </c>
      <c r="G62" s="6" t="s">
        <v>163</v>
      </c>
      <c r="H62" s="6" t="s">
        <v>665</v>
      </c>
      <c r="I62" s="9" t="s">
        <v>563</v>
      </c>
      <c r="J62" s="9"/>
      <c r="K62" s="9"/>
      <c r="L62" s="9"/>
      <c r="M62" s="11" t="s">
        <v>419</v>
      </c>
      <c r="N62" s="18"/>
      <c r="O62" s="18"/>
      <c r="P62" s="11" t="str">
        <f aca="false">IFERROR(INDEX(WBS!$O$6:$O$59,MATCH($F62,WBS!$A$6:$A$59,0)),"")</f>
        <v>IdP管理者・SOC</v>
      </c>
    </row>
    <row r="63" customFormat="false" ht="39.75" hidden="false" customHeight="true" outlineLevel="0" collapsed="false">
      <c r="A63" s="6" t="n">
        <v>60</v>
      </c>
      <c r="B63" s="6" t="n">
        <v>50</v>
      </c>
      <c r="C63" s="6" t="s">
        <v>661</v>
      </c>
      <c r="D63" s="6" t="s">
        <v>667</v>
      </c>
      <c r="E63" s="6" t="s">
        <v>668</v>
      </c>
      <c r="F63" s="6" t="s">
        <v>258</v>
      </c>
      <c r="G63" s="6" t="s">
        <v>263</v>
      </c>
      <c r="H63" s="6" t="s">
        <v>588</v>
      </c>
      <c r="I63" s="9" t="s">
        <v>563</v>
      </c>
      <c r="J63" s="9"/>
      <c r="K63" s="9"/>
      <c r="L63" s="9"/>
      <c r="M63" s="11"/>
      <c r="N63" s="18"/>
      <c r="O63" s="18"/>
      <c r="P63" s="11" t="str">
        <f aca="false">IFERROR(INDEX(WBS!$O$6:$O$59,MATCH($F63,WBS!$A$6:$A$59,0)),"")</f>
        <v>セキュリティ担当</v>
      </c>
    </row>
    <row r="64" customFormat="false" ht="39.75" hidden="false" customHeight="true" outlineLevel="0" collapsed="false">
      <c r="A64" s="6" t="n">
        <v>61</v>
      </c>
      <c r="B64" s="6" t="n">
        <v>51</v>
      </c>
      <c r="C64" s="6" t="s">
        <v>661</v>
      </c>
      <c r="D64" s="6" t="s">
        <v>630</v>
      </c>
      <c r="E64" s="6" t="s">
        <v>669</v>
      </c>
      <c r="F64" s="6" t="s">
        <v>258</v>
      </c>
      <c r="G64" s="6" t="s">
        <v>263</v>
      </c>
      <c r="H64" s="6" t="s">
        <v>588</v>
      </c>
      <c r="I64" s="9" t="s">
        <v>563</v>
      </c>
      <c r="J64" s="9"/>
      <c r="K64" s="9"/>
      <c r="L64" s="9"/>
      <c r="M64" s="11"/>
      <c r="N64" s="18"/>
      <c r="O64" s="18"/>
      <c r="P64" s="11" t="str">
        <f aca="false">IFERROR(INDEX(WBS!$O$6:$O$59,MATCH($F64,WBS!$A$6:$A$59,0)),"")</f>
        <v>セキュリティ担当</v>
      </c>
    </row>
    <row r="65" customFormat="false" ht="63.75" hidden="false" customHeight="true" outlineLevel="0" collapsed="false">
      <c r="A65" s="6" t="n">
        <v>62</v>
      </c>
      <c r="B65" s="6" t="n">
        <v>163</v>
      </c>
      <c r="C65" s="6" t="s">
        <v>661</v>
      </c>
      <c r="D65" s="6" t="s">
        <v>670</v>
      </c>
      <c r="E65" s="6" t="s">
        <v>671</v>
      </c>
      <c r="F65" s="6" t="s">
        <v>329</v>
      </c>
      <c r="G65" s="6" t="s">
        <v>571</v>
      </c>
      <c r="H65" s="6" t="s">
        <v>672</v>
      </c>
      <c r="I65" s="9" t="s">
        <v>563</v>
      </c>
      <c r="J65" s="9"/>
      <c r="K65" s="9"/>
      <c r="L65" s="9"/>
      <c r="M65" s="11" t="s">
        <v>384</v>
      </c>
      <c r="N65" s="18"/>
      <c r="O65" s="18"/>
      <c r="P65" s="11" t="str">
        <f aca="false">IFERROR(INDEX(WBS!$O$6:$O$59,MATCH($F65,WBS!$A$6:$A$59,0)),"")</f>
        <v>ファイルサーバー・ストレージ管理者</v>
      </c>
    </row>
    <row r="66" customFormat="false" ht="49.5" hidden="false" customHeight="true" outlineLevel="0" collapsed="false">
      <c r="A66" s="6" t="n">
        <v>63</v>
      </c>
      <c r="B66" s="6" t="n">
        <v>165</v>
      </c>
      <c r="C66" s="6" t="s">
        <v>661</v>
      </c>
      <c r="D66" s="6" t="s">
        <v>670</v>
      </c>
      <c r="E66" s="6" t="s">
        <v>673</v>
      </c>
      <c r="F66" s="6" t="s">
        <v>329</v>
      </c>
      <c r="G66" s="6" t="s">
        <v>571</v>
      </c>
      <c r="H66" s="6" t="s">
        <v>674</v>
      </c>
      <c r="I66" s="9" t="s">
        <v>563</v>
      </c>
      <c r="J66" s="9"/>
      <c r="K66" s="9"/>
      <c r="L66" s="9"/>
      <c r="M66" s="11"/>
      <c r="N66" s="18"/>
      <c r="O66" s="18"/>
      <c r="P66" s="11" t="str">
        <f aca="false">IFERROR(INDEX(WBS!$O$6:$O$59,MATCH($F66,WBS!$A$6:$A$59,0)),"")</f>
        <v>ファイルサーバー・ストレージ管理者</v>
      </c>
    </row>
    <row r="67" customFormat="false" ht="49.5" hidden="false" customHeight="true" outlineLevel="0" collapsed="false">
      <c r="A67" s="6" t="n">
        <v>64</v>
      </c>
      <c r="B67" s="6" t="n">
        <v>166</v>
      </c>
      <c r="C67" s="6" t="s">
        <v>661</v>
      </c>
      <c r="D67" s="6" t="s">
        <v>670</v>
      </c>
      <c r="E67" s="6" t="s">
        <v>675</v>
      </c>
      <c r="F67" s="6" t="s">
        <v>329</v>
      </c>
      <c r="G67" s="6" t="s">
        <v>571</v>
      </c>
      <c r="H67" s="6" t="s">
        <v>674</v>
      </c>
      <c r="I67" s="9" t="s">
        <v>563</v>
      </c>
      <c r="J67" s="9"/>
      <c r="K67" s="9"/>
      <c r="L67" s="9"/>
      <c r="M67" s="11"/>
      <c r="N67" s="18"/>
      <c r="O67" s="18"/>
      <c r="P67" s="11" t="str">
        <f aca="false">IFERROR(INDEX(WBS!$O$6:$O$59,MATCH($F67,WBS!$A$6:$A$59,0)),"")</f>
        <v>ファイルサーバー・ストレージ管理者</v>
      </c>
    </row>
    <row r="68" customFormat="false" ht="63.75" hidden="false" customHeight="true" outlineLevel="0" collapsed="false">
      <c r="A68" s="6" t="n">
        <v>65</v>
      </c>
      <c r="B68" s="6" t="n">
        <v>167</v>
      </c>
      <c r="C68" s="6" t="s">
        <v>661</v>
      </c>
      <c r="D68" s="6" t="s">
        <v>670</v>
      </c>
      <c r="E68" s="6" t="s">
        <v>676</v>
      </c>
      <c r="F68" s="6" t="s">
        <v>329</v>
      </c>
      <c r="G68" s="6" t="s">
        <v>571</v>
      </c>
      <c r="H68" s="6" t="s">
        <v>672</v>
      </c>
      <c r="I68" s="9" t="s">
        <v>563</v>
      </c>
      <c r="J68" s="9"/>
      <c r="K68" s="9"/>
      <c r="L68" s="9"/>
      <c r="M68" s="11" t="s">
        <v>384</v>
      </c>
      <c r="N68" s="18"/>
      <c r="O68" s="18"/>
      <c r="P68" s="11" t="str">
        <f aca="false">IFERROR(INDEX(WBS!$O$6:$O$59,MATCH($F68,WBS!$A$6:$A$59,0)),"")</f>
        <v>ファイルサーバー・ストレージ管理者</v>
      </c>
    </row>
    <row r="69" customFormat="false" ht="49.5" hidden="false" customHeight="true" outlineLevel="0" collapsed="false">
      <c r="A69" s="6" t="n">
        <v>66</v>
      </c>
      <c r="B69" s="6" t="n">
        <v>72</v>
      </c>
      <c r="C69" s="6" t="s">
        <v>677</v>
      </c>
      <c r="D69" s="6" t="s">
        <v>678</v>
      </c>
      <c r="E69" s="6" t="s">
        <v>679</v>
      </c>
      <c r="F69" s="6" t="s">
        <v>158</v>
      </c>
      <c r="G69" s="6" t="s">
        <v>163</v>
      </c>
      <c r="H69" s="6" t="s">
        <v>680</v>
      </c>
      <c r="I69" s="9" t="s">
        <v>563</v>
      </c>
      <c r="J69" s="9"/>
      <c r="K69" s="9"/>
      <c r="L69" s="9"/>
      <c r="M69" s="11" t="s">
        <v>187</v>
      </c>
      <c r="N69" s="18"/>
      <c r="O69" s="18"/>
      <c r="P69" s="11" t="str">
        <f aca="false">IFERROR(INDEX(WBS!$O$6:$O$59,MATCH($F69,WBS!$A$6:$A$59,0)),"")</f>
        <v>IdP管理者</v>
      </c>
    </row>
    <row r="70" customFormat="false" ht="49.5" hidden="false" customHeight="true" outlineLevel="0" collapsed="false">
      <c r="A70" s="6" t="n">
        <v>67</v>
      </c>
      <c r="B70" s="6" t="n">
        <v>73</v>
      </c>
      <c r="C70" s="6" t="s">
        <v>677</v>
      </c>
      <c r="D70" s="6" t="s">
        <v>678</v>
      </c>
      <c r="E70" s="6" t="s">
        <v>681</v>
      </c>
      <c r="F70" s="6" t="s">
        <v>158</v>
      </c>
      <c r="G70" s="6" t="s">
        <v>163</v>
      </c>
      <c r="H70" s="6" t="s">
        <v>682</v>
      </c>
      <c r="I70" s="9" t="s">
        <v>563</v>
      </c>
      <c r="J70" s="9"/>
      <c r="K70" s="9"/>
      <c r="L70" s="9"/>
      <c r="M70" s="11" t="s">
        <v>187</v>
      </c>
      <c r="N70" s="18"/>
      <c r="O70" s="18"/>
      <c r="P70" s="11" t="str">
        <f aca="false">IFERROR(INDEX(WBS!$O$6:$O$59,MATCH($F70,WBS!$A$6:$A$59,0)),"")</f>
        <v>IdP管理者</v>
      </c>
    </row>
    <row r="71" customFormat="false" ht="49.5" hidden="false" customHeight="true" outlineLevel="0" collapsed="false">
      <c r="A71" s="6" t="n">
        <v>68</v>
      </c>
      <c r="B71" s="6" t="n">
        <v>74</v>
      </c>
      <c r="C71" s="6" t="s">
        <v>677</v>
      </c>
      <c r="D71" s="6" t="s">
        <v>678</v>
      </c>
      <c r="E71" s="6" t="s">
        <v>683</v>
      </c>
      <c r="F71" s="6" t="s">
        <v>158</v>
      </c>
      <c r="G71" s="6" t="s">
        <v>163</v>
      </c>
      <c r="H71" s="6" t="s">
        <v>682</v>
      </c>
      <c r="I71" s="9" t="s">
        <v>563</v>
      </c>
      <c r="J71" s="9"/>
      <c r="K71" s="9"/>
      <c r="L71" s="9"/>
      <c r="M71" s="11" t="s">
        <v>187</v>
      </c>
      <c r="N71" s="18"/>
      <c r="O71" s="18"/>
      <c r="P71" s="11" t="str">
        <f aca="false">IFERROR(INDEX(WBS!$O$6:$O$59,MATCH($F71,WBS!$A$6:$A$59,0)),"")</f>
        <v>IdP管理者</v>
      </c>
    </row>
    <row r="72" customFormat="false" ht="78" hidden="false" customHeight="true" outlineLevel="0" collapsed="false">
      <c r="A72" s="6" t="n">
        <v>69</v>
      </c>
      <c r="B72" s="6" t="n">
        <v>42</v>
      </c>
      <c r="C72" s="6" t="s">
        <v>677</v>
      </c>
      <c r="D72" s="6" t="s">
        <v>684</v>
      </c>
      <c r="E72" s="6" t="s">
        <v>685</v>
      </c>
      <c r="F72" s="6" t="s">
        <v>335</v>
      </c>
      <c r="G72" s="6" t="s">
        <v>571</v>
      </c>
      <c r="H72" s="6" t="s">
        <v>686</v>
      </c>
      <c r="I72" s="9" t="s">
        <v>563</v>
      </c>
      <c r="J72" s="9"/>
      <c r="K72" s="9"/>
      <c r="L72" s="9"/>
      <c r="M72" s="11" t="s">
        <v>687</v>
      </c>
      <c r="N72" s="18"/>
      <c r="O72" s="18"/>
      <c r="P72" s="11" t="str">
        <f aca="false">IFERROR(INDEX(WBS!$O$6:$O$59,MATCH($F72,WBS!$A$6:$A$59,0)),"")</f>
        <v>VDI・リモートアクセス基盤担当</v>
      </c>
    </row>
    <row r="73" customFormat="false" ht="49.5" hidden="false" customHeight="true" outlineLevel="0" collapsed="false">
      <c r="A73" s="6" t="n">
        <v>70</v>
      </c>
      <c r="B73" s="6" t="n">
        <v>43</v>
      </c>
      <c r="C73" s="6" t="s">
        <v>677</v>
      </c>
      <c r="D73" s="6" t="s">
        <v>684</v>
      </c>
      <c r="E73" s="6" t="s">
        <v>688</v>
      </c>
      <c r="F73" s="6" t="s">
        <v>335</v>
      </c>
      <c r="G73" s="6" t="s">
        <v>571</v>
      </c>
      <c r="H73" s="6" t="s">
        <v>632</v>
      </c>
      <c r="I73" s="9" t="s">
        <v>563</v>
      </c>
      <c r="J73" s="9"/>
      <c r="K73" s="9"/>
      <c r="L73" s="9"/>
      <c r="M73" s="11"/>
      <c r="N73" s="18"/>
      <c r="O73" s="18"/>
      <c r="P73" s="11" t="str">
        <f aca="false">IFERROR(INDEX(WBS!$O$6:$O$59,MATCH($F73,WBS!$A$6:$A$59,0)),"")</f>
        <v>VDI・リモートアクセス基盤担当</v>
      </c>
    </row>
    <row r="74" customFormat="false" ht="49.5" hidden="false" customHeight="true" outlineLevel="0" collapsed="false">
      <c r="A74" s="6" t="n">
        <v>71</v>
      </c>
      <c r="B74" s="6" t="n">
        <v>44</v>
      </c>
      <c r="C74" s="6" t="s">
        <v>677</v>
      </c>
      <c r="D74" s="6" t="s">
        <v>684</v>
      </c>
      <c r="E74" s="6" t="s">
        <v>689</v>
      </c>
      <c r="F74" s="6" t="s">
        <v>335</v>
      </c>
      <c r="G74" s="6" t="s">
        <v>571</v>
      </c>
      <c r="H74" s="6" t="s">
        <v>632</v>
      </c>
      <c r="I74" s="9" t="s">
        <v>563</v>
      </c>
      <c r="J74" s="9"/>
      <c r="K74" s="9"/>
      <c r="L74" s="9"/>
      <c r="M74" s="11"/>
      <c r="N74" s="18"/>
      <c r="O74" s="18"/>
      <c r="P74" s="11" t="str">
        <f aca="false">IFERROR(INDEX(WBS!$O$6:$O$59,MATCH($F74,WBS!$A$6:$A$59,0)),"")</f>
        <v>VDI・リモートアクセス基盤担当</v>
      </c>
    </row>
    <row r="75" customFormat="false" ht="49.5" hidden="false" customHeight="true" outlineLevel="0" collapsed="false">
      <c r="A75" s="6" t="n">
        <v>72</v>
      </c>
      <c r="B75" s="6" t="n">
        <v>45</v>
      </c>
      <c r="C75" s="6" t="s">
        <v>677</v>
      </c>
      <c r="D75" s="6" t="s">
        <v>684</v>
      </c>
      <c r="E75" s="6" t="s">
        <v>690</v>
      </c>
      <c r="F75" s="6" t="s">
        <v>335</v>
      </c>
      <c r="G75" s="6" t="s">
        <v>571</v>
      </c>
      <c r="H75" s="6" t="s">
        <v>632</v>
      </c>
      <c r="I75" s="9" t="s">
        <v>563</v>
      </c>
      <c r="J75" s="9"/>
      <c r="K75" s="9"/>
      <c r="L75" s="9"/>
      <c r="M75" s="11"/>
      <c r="N75" s="18"/>
      <c r="O75" s="18"/>
      <c r="P75" s="11" t="str">
        <f aca="false">IFERROR(INDEX(WBS!$O$6:$O$59,MATCH($F75,WBS!$A$6:$A$59,0)),"")</f>
        <v>VDI・リモートアクセス基盤担当</v>
      </c>
    </row>
    <row r="76" customFormat="false" ht="49.5" hidden="false" customHeight="true" outlineLevel="0" collapsed="false">
      <c r="A76" s="6" t="n">
        <v>73</v>
      </c>
      <c r="B76" s="6" t="n">
        <v>46</v>
      </c>
      <c r="C76" s="6" t="s">
        <v>677</v>
      </c>
      <c r="D76" s="6" t="s">
        <v>684</v>
      </c>
      <c r="E76" s="6" t="s">
        <v>691</v>
      </c>
      <c r="F76" s="6" t="s">
        <v>335</v>
      </c>
      <c r="G76" s="6" t="s">
        <v>571</v>
      </c>
      <c r="H76" s="6" t="s">
        <v>632</v>
      </c>
      <c r="I76" s="9" t="s">
        <v>563</v>
      </c>
      <c r="J76" s="9"/>
      <c r="K76" s="9"/>
      <c r="L76" s="9"/>
      <c r="M76" s="11"/>
      <c r="N76" s="18"/>
      <c r="O76" s="18"/>
      <c r="P76" s="11" t="str">
        <f aca="false">IFERROR(INDEX(WBS!$O$6:$O$59,MATCH($F76,WBS!$A$6:$A$59,0)),"")</f>
        <v>VDI・リモートアクセス基盤担当</v>
      </c>
    </row>
    <row r="77" customFormat="false" ht="49.5" hidden="false" customHeight="true" outlineLevel="0" collapsed="false">
      <c r="A77" s="6" t="n">
        <v>74</v>
      </c>
      <c r="B77" s="6" t="n">
        <v>47</v>
      </c>
      <c r="C77" s="6" t="s">
        <v>677</v>
      </c>
      <c r="D77" s="6" t="s">
        <v>684</v>
      </c>
      <c r="E77" s="6" t="s">
        <v>692</v>
      </c>
      <c r="F77" s="6" t="s">
        <v>335</v>
      </c>
      <c r="G77" s="6" t="s">
        <v>571</v>
      </c>
      <c r="H77" s="6" t="s">
        <v>632</v>
      </c>
      <c r="I77" s="9" t="s">
        <v>563</v>
      </c>
      <c r="J77" s="9"/>
      <c r="K77" s="9"/>
      <c r="L77" s="9"/>
      <c r="M77" s="11"/>
      <c r="N77" s="18"/>
      <c r="O77" s="18"/>
      <c r="P77" s="11" t="str">
        <f aca="false">IFERROR(INDEX(WBS!$O$6:$O$59,MATCH($F77,WBS!$A$6:$A$59,0)),"")</f>
        <v>VDI・リモートアクセス基盤担当</v>
      </c>
    </row>
    <row r="78" customFormat="false" ht="49.5" hidden="false" customHeight="true" outlineLevel="0" collapsed="false">
      <c r="A78" s="6" t="n">
        <v>75</v>
      </c>
      <c r="B78" s="6" t="n">
        <v>48</v>
      </c>
      <c r="C78" s="6" t="s">
        <v>677</v>
      </c>
      <c r="D78" s="6" t="s">
        <v>684</v>
      </c>
      <c r="E78" s="6" t="s">
        <v>693</v>
      </c>
      <c r="F78" s="6" t="s">
        <v>335</v>
      </c>
      <c r="G78" s="6" t="s">
        <v>571</v>
      </c>
      <c r="H78" s="6" t="s">
        <v>632</v>
      </c>
      <c r="I78" s="9" t="s">
        <v>563</v>
      </c>
      <c r="J78" s="9"/>
      <c r="K78" s="9"/>
      <c r="L78" s="9"/>
      <c r="M78" s="11"/>
      <c r="N78" s="18"/>
      <c r="O78" s="18"/>
      <c r="P78" s="11" t="str">
        <f aca="false">IFERROR(INDEX(WBS!$O$6:$O$59,MATCH($F78,WBS!$A$6:$A$59,0)),"")</f>
        <v>VDI・リモートアクセス基盤担当</v>
      </c>
    </row>
    <row r="79" customFormat="false" ht="49.5" hidden="false" customHeight="true" outlineLevel="0" collapsed="false">
      <c r="A79" s="6" t="n">
        <v>76</v>
      </c>
      <c r="B79" s="6" t="n">
        <v>54</v>
      </c>
      <c r="C79" s="6" t="s">
        <v>677</v>
      </c>
      <c r="D79" s="6" t="s">
        <v>694</v>
      </c>
      <c r="E79" s="6" t="s">
        <v>695</v>
      </c>
      <c r="F79" s="6" t="s">
        <v>329</v>
      </c>
      <c r="G79" s="6" t="s">
        <v>571</v>
      </c>
      <c r="H79" s="6" t="s">
        <v>674</v>
      </c>
      <c r="I79" s="9" t="s">
        <v>563</v>
      </c>
      <c r="J79" s="9"/>
      <c r="K79" s="9"/>
      <c r="L79" s="9"/>
      <c r="M79" s="11"/>
      <c r="N79" s="18"/>
      <c r="O79" s="18"/>
      <c r="P79" s="11" t="str">
        <f aca="false">IFERROR(INDEX(WBS!$O$6:$O$59,MATCH($F79,WBS!$A$6:$A$59,0)),"")</f>
        <v>ファイルサーバー・ストレージ管理者</v>
      </c>
    </row>
    <row r="80" customFormat="false" ht="49.5" hidden="false" customHeight="true" outlineLevel="0" collapsed="false">
      <c r="A80" s="6" t="n">
        <v>77</v>
      </c>
      <c r="B80" s="6" t="n">
        <v>55</v>
      </c>
      <c r="C80" s="6" t="s">
        <v>677</v>
      </c>
      <c r="D80" s="6" t="s">
        <v>694</v>
      </c>
      <c r="E80" s="6" t="s">
        <v>696</v>
      </c>
      <c r="F80" s="6" t="s">
        <v>329</v>
      </c>
      <c r="G80" s="6" t="s">
        <v>571</v>
      </c>
      <c r="H80" s="6" t="s">
        <v>674</v>
      </c>
      <c r="I80" s="9" t="s">
        <v>563</v>
      </c>
      <c r="J80" s="9"/>
      <c r="K80" s="9"/>
      <c r="L80" s="9"/>
      <c r="M80" s="11"/>
      <c r="N80" s="18"/>
      <c r="O80" s="18"/>
      <c r="P80" s="11" t="str">
        <f aca="false">IFERROR(INDEX(WBS!$O$6:$O$59,MATCH($F80,WBS!$A$6:$A$59,0)),"")</f>
        <v>ファイルサーバー・ストレージ管理者</v>
      </c>
    </row>
    <row r="81" customFormat="false" ht="49.5" hidden="false" customHeight="true" outlineLevel="0" collapsed="false">
      <c r="A81" s="6" t="n">
        <v>78</v>
      </c>
      <c r="B81" s="6" t="n">
        <v>56</v>
      </c>
      <c r="C81" s="6" t="s">
        <v>677</v>
      </c>
      <c r="D81" s="6" t="s">
        <v>694</v>
      </c>
      <c r="E81" s="6" t="s">
        <v>697</v>
      </c>
      <c r="F81" s="6" t="s">
        <v>329</v>
      </c>
      <c r="G81" s="6" t="s">
        <v>571</v>
      </c>
      <c r="H81" s="6" t="s">
        <v>674</v>
      </c>
      <c r="I81" s="9" t="s">
        <v>563</v>
      </c>
      <c r="J81" s="9"/>
      <c r="K81" s="9"/>
      <c r="L81" s="9"/>
      <c r="M81" s="11"/>
      <c r="N81" s="18"/>
      <c r="O81" s="18"/>
      <c r="P81" s="11" t="str">
        <f aca="false">IFERROR(INDEX(WBS!$O$6:$O$59,MATCH($F81,WBS!$A$6:$A$59,0)),"")</f>
        <v>ファイルサーバー・ストレージ管理者</v>
      </c>
    </row>
    <row r="82" customFormat="false" ht="49.5" hidden="false" customHeight="true" outlineLevel="0" collapsed="false">
      <c r="A82" s="6" t="n">
        <v>79</v>
      </c>
      <c r="B82" s="6" t="n">
        <v>57</v>
      </c>
      <c r="C82" s="6" t="s">
        <v>677</v>
      </c>
      <c r="D82" s="6" t="s">
        <v>694</v>
      </c>
      <c r="E82" s="6" t="s">
        <v>698</v>
      </c>
      <c r="F82" s="6" t="s">
        <v>329</v>
      </c>
      <c r="G82" s="6" t="s">
        <v>571</v>
      </c>
      <c r="H82" s="6" t="s">
        <v>674</v>
      </c>
      <c r="I82" s="9" t="s">
        <v>563</v>
      </c>
      <c r="J82" s="9"/>
      <c r="K82" s="9"/>
      <c r="L82" s="9"/>
      <c r="M82" s="11"/>
      <c r="N82" s="18"/>
      <c r="O82" s="18"/>
      <c r="P82" s="11" t="str">
        <f aca="false">IFERROR(INDEX(WBS!$O$6:$O$59,MATCH($F82,WBS!$A$6:$A$59,0)),"")</f>
        <v>ファイルサーバー・ストレージ管理者</v>
      </c>
    </row>
    <row r="83" customFormat="false" ht="63.75" hidden="false" customHeight="true" outlineLevel="0" collapsed="false">
      <c r="A83" s="6" t="n">
        <v>80</v>
      </c>
      <c r="B83" s="6" t="n">
        <v>58</v>
      </c>
      <c r="C83" s="6" t="s">
        <v>677</v>
      </c>
      <c r="D83" s="6" t="s">
        <v>694</v>
      </c>
      <c r="E83" s="6" t="s">
        <v>699</v>
      </c>
      <c r="F83" s="6" t="s">
        <v>329</v>
      </c>
      <c r="G83" s="6" t="s">
        <v>571</v>
      </c>
      <c r="H83" s="6" t="s">
        <v>672</v>
      </c>
      <c r="I83" s="9" t="s">
        <v>563</v>
      </c>
      <c r="J83" s="9"/>
      <c r="K83" s="9"/>
      <c r="L83" s="9"/>
      <c r="M83" s="11" t="s">
        <v>384</v>
      </c>
      <c r="N83" s="18"/>
      <c r="O83" s="18"/>
      <c r="P83" s="11" t="str">
        <f aca="false">IFERROR(INDEX(WBS!$O$6:$O$59,MATCH($F83,WBS!$A$6:$A$59,0)),"")</f>
        <v>ファイルサーバー・ストレージ管理者</v>
      </c>
    </row>
    <row r="84" customFormat="false" ht="49.5" hidden="false" customHeight="true" outlineLevel="0" collapsed="false">
      <c r="A84" s="6" t="n">
        <v>81</v>
      </c>
      <c r="B84" s="6" t="n">
        <v>59</v>
      </c>
      <c r="C84" s="6" t="s">
        <v>677</v>
      </c>
      <c r="D84" s="6" t="s">
        <v>694</v>
      </c>
      <c r="E84" s="6" t="s">
        <v>700</v>
      </c>
      <c r="F84" s="6" t="s">
        <v>329</v>
      </c>
      <c r="G84" s="6" t="s">
        <v>571</v>
      </c>
      <c r="H84" s="6" t="s">
        <v>674</v>
      </c>
      <c r="I84" s="9" t="s">
        <v>563</v>
      </c>
      <c r="J84" s="9"/>
      <c r="K84" s="9"/>
      <c r="L84" s="9"/>
      <c r="M84" s="11"/>
      <c r="N84" s="18"/>
      <c r="O84" s="18"/>
      <c r="P84" s="11" t="str">
        <f aca="false">IFERROR(INDEX(WBS!$O$6:$O$59,MATCH($F84,WBS!$A$6:$A$59,0)),"")</f>
        <v>ファイルサーバー・ストレージ管理者</v>
      </c>
    </row>
    <row r="85" customFormat="false" ht="63.75" hidden="false" customHeight="true" outlineLevel="0" collapsed="false">
      <c r="A85" s="6" t="n">
        <v>82</v>
      </c>
      <c r="B85" s="6" t="n">
        <v>60</v>
      </c>
      <c r="C85" s="6" t="s">
        <v>677</v>
      </c>
      <c r="D85" s="6" t="s">
        <v>694</v>
      </c>
      <c r="E85" s="6" t="s">
        <v>701</v>
      </c>
      <c r="F85" s="6" t="s">
        <v>329</v>
      </c>
      <c r="G85" s="6" t="s">
        <v>571</v>
      </c>
      <c r="H85" s="6" t="s">
        <v>672</v>
      </c>
      <c r="I85" s="9" t="s">
        <v>563</v>
      </c>
      <c r="J85" s="9"/>
      <c r="K85" s="9"/>
      <c r="L85" s="9"/>
      <c r="M85" s="11" t="s">
        <v>384</v>
      </c>
      <c r="N85" s="18"/>
      <c r="O85" s="18"/>
      <c r="P85" s="11" t="str">
        <f aca="false">IFERROR(INDEX(WBS!$O$6:$O$59,MATCH($F85,WBS!$A$6:$A$59,0)),"")</f>
        <v>ファイルサーバー・ストレージ管理者</v>
      </c>
    </row>
    <row r="86" customFormat="false" ht="49.5" hidden="false" customHeight="true" outlineLevel="0" collapsed="false">
      <c r="A86" s="6" t="n">
        <v>83</v>
      </c>
      <c r="B86" s="6" t="n">
        <v>61</v>
      </c>
      <c r="C86" s="6" t="s">
        <v>677</v>
      </c>
      <c r="D86" s="6" t="s">
        <v>694</v>
      </c>
      <c r="E86" s="6" t="s">
        <v>702</v>
      </c>
      <c r="F86" s="6" t="s">
        <v>329</v>
      </c>
      <c r="G86" s="6" t="s">
        <v>571</v>
      </c>
      <c r="H86" s="6" t="s">
        <v>674</v>
      </c>
      <c r="I86" s="9" t="s">
        <v>563</v>
      </c>
      <c r="J86" s="9"/>
      <c r="K86" s="9"/>
      <c r="L86" s="9"/>
      <c r="M86" s="11"/>
      <c r="N86" s="18"/>
      <c r="O86" s="18"/>
      <c r="P86" s="11" t="str">
        <f aca="false">IFERROR(INDEX(WBS!$O$6:$O$59,MATCH($F86,WBS!$A$6:$A$59,0)),"")</f>
        <v>ファイルサーバー・ストレージ管理者</v>
      </c>
    </row>
    <row r="87" customFormat="false" ht="63.75" hidden="false" customHeight="true" outlineLevel="0" collapsed="false">
      <c r="A87" s="6" t="n">
        <v>84</v>
      </c>
      <c r="B87" s="6" t="n">
        <v>62</v>
      </c>
      <c r="C87" s="6" t="s">
        <v>677</v>
      </c>
      <c r="D87" s="6" t="s">
        <v>694</v>
      </c>
      <c r="E87" s="6" t="s">
        <v>703</v>
      </c>
      <c r="F87" s="6" t="s">
        <v>329</v>
      </c>
      <c r="G87" s="6" t="s">
        <v>571</v>
      </c>
      <c r="H87" s="6" t="s">
        <v>672</v>
      </c>
      <c r="I87" s="9" t="s">
        <v>563</v>
      </c>
      <c r="J87" s="9"/>
      <c r="K87" s="9"/>
      <c r="L87" s="9"/>
      <c r="M87" s="11" t="s">
        <v>384</v>
      </c>
      <c r="N87" s="18"/>
      <c r="O87" s="18"/>
      <c r="P87" s="11" t="str">
        <f aca="false">IFERROR(INDEX(WBS!$O$6:$O$59,MATCH($F87,WBS!$A$6:$A$59,0)),"")</f>
        <v>ファイルサーバー・ストレージ管理者</v>
      </c>
    </row>
    <row r="88" customFormat="false" ht="78" hidden="false" customHeight="true" outlineLevel="0" collapsed="false">
      <c r="A88" s="6" t="n">
        <v>85</v>
      </c>
      <c r="B88" s="6" t="n">
        <v>63</v>
      </c>
      <c r="C88" s="6" t="s">
        <v>677</v>
      </c>
      <c r="D88" s="6" t="s">
        <v>694</v>
      </c>
      <c r="E88" s="6" t="s">
        <v>704</v>
      </c>
      <c r="F88" s="6" t="s">
        <v>329</v>
      </c>
      <c r="G88" s="6" t="s">
        <v>571</v>
      </c>
      <c r="H88" s="6" t="s">
        <v>674</v>
      </c>
      <c r="I88" s="9" t="s">
        <v>563</v>
      </c>
      <c r="J88" s="9"/>
      <c r="K88" s="9"/>
      <c r="L88" s="9"/>
      <c r="M88" s="11"/>
      <c r="N88" s="18"/>
      <c r="O88" s="18"/>
      <c r="P88" s="11" t="str">
        <f aca="false">IFERROR(INDEX(WBS!$O$6:$O$59,MATCH($F88,WBS!$A$6:$A$59,0)),"")</f>
        <v>ファイルサーバー・ストレージ管理者</v>
      </c>
    </row>
    <row r="89" customFormat="false" ht="63.75" hidden="false" customHeight="true" outlineLevel="0" collapsed="false">
      <c r="A89" s="6" t="n">
        <v>86</v>
      </c>
      <c r="B89" s="6" t="n">
        <v>64</v>
      </c>
      <c r="C89" s="6" t="s">
        <v>677</v>
      </c>
      <c r="D89" s="6" t="s">
        <v>694</v>
      </c>
      <c r="E89" s="6" t="s">
        <v>705</v>
      </c>
      <c r="F89" s="6" t="s">
        <v>329</v>
      </c>
      <c r="G89" s="6" t="s">
        <v>571</v>
      </c>
      <c r="H89" s="6" t="s">
        <v>674</v>
      </c>
      <c r="I89" s="9" t="s">
        <v>563</v>
      </c>
      <c r="J89" s="9"/>
      <c r="K89" s="9"/>
      <c r="L89" s="9"/>
      <c r="M89" s="11"/>
      <c r="N89" s="18"/>
      <c r="O89" s="18"/>
      <c r="P89" s="11" t="str">
        <f aca="false">IFERROR(INDEX(WBS!$O$6:$O$59,MATCH($F89,WBS!$A$6:$A$59,0)),"")</f>
        <v>ファイルサーバー・ストレージ管理者</v>
      </c>
    </row>
    <row r="90" customFormat="false" ht="49.5" hidden="false" customHeight="true" outlineLevel="0" collapsed="false">
      <c r="A90" s="6" t="n">
        <v>87</v>
      </c>
      <c r="B90" s="6" t="n">
        <v>69</v>
      </c>
      <c r="C90" s="6" t="s">
        <v>677</v>
      </c>
      <c r="D90" s="6" t="s">
        <v>694</v>
      </c>
      <c r="E90" s="6" t="s">
        <v>706</v>
      </c>
      <c r="F90" s="6" t="s">
        <v>329</v>
      </c>
      <c r="G90" s="6" t="s">
        <v>571</v>
      </c>
      <c r="H90" s="6" t="s">
        <v>674</v>
      </c>
      <c r="I90" s="9" t="s">
        <v>563</v>
      </c>
      <c r="J90" s="9"/>
      <c r="K90" s="9"/>
      <c r="L90" s="9"/>
      <c r="M90" s="11"/>
      <c r="N90" s="18"/>
      <c r="O90" s="18"/>
      <c r="P90" s="11" t="str">
        <f aca="false">IFERROR(INDEX(WBS!$O$6:$O$59,MATCH($F90,WBS!$A$6:$A$59,0)),"")</f>
        <v>ファイルサーバー・ストレージ管理者</v>
      </c>
    </row>
    <row r="91" customFormat="false" ht="49.5" hidden="false" customHeight="true" outlineLevel="0" collapsed="false">
      <c r="A91" s="6" t="n">
        <v>88</v>
      </c>
      <c r="B91" s="6" t="n">
        <v>70</v>
      </c>
      <c r="C91" s="6" t="s">
        <v>677</v>
      </c>
      <c r="D91" s="6" t="s">
        <v>694</v>
      </c>
      <c r="E91" s="6" t="s">
        <v>707</v>
      </c>
      <c r="F91" s="6" t="s">
        <v>329</v>
      </c>
      <c r="G91" s="6" t="s">
        <v>571</v>
      </c>
      <c r="H91" s="6" t="s">
        <v>674</v>
      </c>
      <c r="I91" s="9" t="s">
        <v>563</v>
      </c>
      <c r="J91" s="9"/>
      <c r="K91" s="9"/>
      <c r="L91" s="9"/>
      <c r="M91" s="11"/>
      <c r="N91" s="18"/>
      <c r="O91" s="18"/>
      <c r="P91" s="11" t="str">
        <f aca="false">IFERROR(INDEX(WBS!$O$6:$O$59,MATCH($F91,WBS!$A$6:$A$59,0)),"")</f>
        <v>ファイルサーバー・ストレージ管理者</v>
      </c>
    </row>
    <row r="92" customFormat="false" ht="49.5" hidden="false" customHeight="true" outlineLevel="0" collapsed="false">
      <c r="A92" s="6" t="n">
        <v>89</v>
      </c>
      <c r="B92" s="6" t="n">
        <v>71</v>
      </c>
      <c r="C92" s="6" t="s">
        <v>677</v>
      </c>
      <c r="D92" s="6" t="s">
        <v>694</v>
      </c>
      <c r="E92" s="6" t="s">
        <v>708</v>
      </c>
      <c r="F92" s="6" t="s">
        <v>329</v>
      </c>
      <c r="G92" s="6" t="s">
        <v>571</v>
      </c>
      <c r="H92" s="6" t="s">
        <v>674</v>
      </c>
      <c r="I92" s="9" t="s">
        <v>563</v>
      </c>
      <c r="J92" s="9"/>
      <c r="K92" s="9"/>
      <c r="L92" s="9"/>
      <c r="M92" s="11"/>
      <c r="N92" s="18"/>
      <c r="O92" s="18"/>
      <c r="P92" s="11" t="str">
        <f aca="false">IFERROR(INDEX(WBS!$O$6:$O$59,MATCH($F92,WBS!$A$6:$A$59,0)),"")</f>
        <v>ファイルサーバー・ストレージ管理者</v>
      </c>
    </row>
    <row r="93" customFormat="false" ht="39.75" hidden="false" customHeight="true" outlineLevel="0" collapsed="false">
      <c r="A93" s="6" t="n">
        <v>90</v>
      </c>
      <c r="B93" s="6" t="n">
        <v>52</v>
      </c>
      <c r="C93" s="6" t="s">
        <v>677</v>
      </c>
      <c r="D93" s="6" t="s">
        <v>662</v>
      </c>
      <c r="E93" s="6" t="s">
        <v>709</v>
      </c>
      <c r="F93" s="6" t="s">
        <v>307</v>
      </c>
      <c r="G93" s="6" t="s">
        <v>193</v>
      </c>
      <c r="H93" s="6" t="s">
        <v>710</v>
      </c>
      <c r="I93" s="9" t="s">
        <v>563</v>
      </c>
      <c r="J93" s="9"/>
      <c r="K93" s="9"/>
      <c r="L93" s="9"/>
      <c r="M93" s="11"/>
      <c r="N93" s="18"/>
      <c r="O93" s="18"/>
      <c r="P93" s="11" t="str">
        <f aca="false">IFERROR(INDEX(WBS!$O$6:$O$59,MATCH($F93,WBS!$A$6:$A$59,0)),"")</f>
        <v>ネットワーク担当</v>
      </c>
    </row>
    <row r="94" customFormat="false" ht="39.75" hidden="false" customHeight="true" outlineLevel="0" collapsed="false">
      <c r="A94" s="6" t="n">
        <v>91</v>
      </c>
      <c r="B94" s="6" t="n">
        <v>53</v>
      </c>
      <c r="C94" s="6" t="s">
        <v>677</v>
      </c>
      <c r="D94" s="6" t="s">
        <v>630</v>
      </c>
      <c r="E94" s="6" t="s">
        <v>711</v>
      </c>
      <c r="F94" s="6" t="s">
        <v>307</v>
      </c>
      <c r="G94" s="6" t="s">
        <v>193</v>
      </c>
      <c r="H94" s="6" t="s">
        <v>710</v>
      </c>
      <c r="I94" s="9" t="s">
        <v>563</v>
      </c>
      <c r="J94" s="9"/>
      <c r="K94" s="9"/>
      <c r="L94" s="9"/>
      <c r="M94" s="11"/>
      <c r="N94" s="18"/>
      <c r="O94" s="18"/>
      <c r="P94" s="11" t="str">
        <f aca="false">IFERROR(INDEX(WBS!$O$6:$O$59,MATCH($F94,WBS!$A$6:$A$59,0)),"")</f>
        <v>ネットワーク担当</v>
      </c>
    </row>
    <row r="95" customFormat="false" ht="49.5" hidden="false" customHeight="true" outlineLevel="0" collapsed="false">
      <c r="A95" s="6" t="n">
        <v>92</v>
      </c>
      <c r="B95" s="6" t="n">
        <v>65</v>
      </c>
      <c r="C95" s="6" t="s">
        <v>677</v>
      </c>
      <c r="D95" s="6" t="s">
        <v>712</v>
      </c>
      <c r="E95" s="6" t="s">
        <v>713</v>
      </c>
      <c r="F95" s="6" t="s">
        <v>329</v>
      </c>
      <c r="G95" s="6" t="s">
        <v>571</v>
      </c>
      <c r="H95" s="6" t="s">
        <v>674</v>
      </c>
      <c r="I95" s="9" t="s">
        <v>563</v>
      </c>
      <c r="J95" s="9"/>
      <c r="K95" s="9"/>
      <c r="L95" s="9"/>
      <c r="M95" s="11"/>
      <c r="N95" s="18"/>
      <c r="O95" s="18"/>
      <c r="P95" s="11" t="str">
        <f aca="false">IFERROR(INDEX(WBS!$O$6:$O$59,MATCH($F95,WBS!$A$6:$A$59,0)),"")</f>
        <v>ファイルサーバー・ストレージ管理者</v>
      </c>
    </row>
    <row r="96" customFormat="false" ht="78" hidden="false" customHeight="true" outlineLevel="0" collapsed="false">
      <c r="A96" s="6" t="n">
        <v>93</v>
      </c>
      <c r="B96" s="6" t="n">
        <v>66</v>
      </c>
      <c r="C96" s="6" t="s">
        <v>677</v>
      </c>
      <c r="D96" s="6" t="s">
        <v>712</v>
      </c>
      <c r="E96" s="6" t="s">
        <v>714</v>
      </c>
      <c r="F96" s="6" t="s">
        <v>329</v>
      </c>
      <c r="G96" s="6" t="s">
        <v>571</v>
      </c>
      <c r="H96" s="6" t="s">
        <v>674</v>
      </c>
      <c r="I96" s="9" t="s">
        <v>563</v>
      </c>
      <c r="J96" s="9"/>
      <c r="K96" s="9"/>
      <c r="L96" s="9"/>
      <c r="M96" s="11"/>
      <c r="N96" s="18"/>
      <c r="O96" s="18"/>
      <c r="P96" s="11" t="str">
        <f aca="false">IFERROR(INDEX(WBS!$O$6:$O$59,MATCH($F96,WBS!$A$6:$A$59,0)),"")</f>
        <v>ファイルサーバー・ストレージ管理者</v>
      </c>
    </row>
    <row r="97" customFormat="false" ht="49.5" hidden="false" customHeight="true" outlineLevel="0" collapsed="false">
      <c r="A97" s="6" t="n">
        <v>94</v>
      </c>
      <c r="B97" s="6" t="n">
        <v>67</v>
      </c>
      <c r="C97" s="6" t="s">
        <v>677</v>
      </c>
      <c r="D97" s="6" t="s">
        <v>712</v>
      </c>
      <c r="E97" s="6" t="s">
        <v>715</v>
      </c>
      <c r="F97" s="6" t="s">
        <v>329</v>
      </c>
      <c r="G97" s="6" t="s">
        <v>571</v>
      </c>
      <c r="H97" s="6" t="s">
        <v>674</v>
      </c>
      <c r="I97" s="9" t="s">
        <v>563</v>
      </c>
      <c r="J97" s="9"/>
      <c r="K97" s="9"/>
      <c r="L97" s="9"/>
      <c r="M97" s="11"/>
      <c r="N97" s="18"/>
      <c r="O97" s="18"/>
      <c r="P97" s="11" t="str">
        <f aca="false">IFERROR(INDEX(WBS!$O$6:$O$59,MATCH($F97,WBS!$A$6:$A$59,0)),"")</f>
        <v>ファイルサーバー・ストレージ管理者</v>
      </c>
    </row>
    <row r="98" customFormat="false" ht="49.5" hidden="false" customHeight="true" outlineLevel="0" collapsed="false">
      <c r="A98" s="6" t="n">
        <v>95</v>
      </c>
      <c r="B98" s="6" t="n">
        <v>68</v>
      </c>
      <c r="C98" s="6" t="s">
        <v>677</v>
      </c>
      <c r="D98" s="6" t="s">
        <v>712</v>
      </c>
      <c r="E98" s="6" t="s">
        <v>716</v>
      </c>
      <c r="F98" s="6" t="s">
        <v>329</v>
      </c>
      <c r="G98" s="6" t="s">
        <v>571</v>
      </c>
      <c r="H98" s="6" t="s">
        <v>674</v>
      </c>
      <c r="I98" s="9" t="s">
        <v>563</v>
      </c>
      <c r="J98" s="9"/>
      <c r="K98" s="9"/>
      <c r="L98" s="9"/>
      <c r="M98" s="11"/>
      <c r="N98" s="18"/>
      <c r="O98" s="18"/>
      <c r="P98" s="11" t="str">
        <f aca="false">IFERROR(INDEX(WBS!$O$6:$O$59,MATCH($F98,WBS!$A$6:$A$59,0)),"")</f>
        <v>ファイルサーバー・ストレージ管理者</v>
      </c>
    </row>
    <row r="99" customFormat="false" ht="39.75" hidden="false" customHeight="true" outlineLevel="0" collapsed="false">
      <c r="A99" s="6" t="n">
        <v>96</v>
      </c>
      <c r="B99" s="6" t="n">
        <v>102</v>
      </c>
      <c r="C99" s="6" t="s">
        <v>717</v>
      </c>
      <c r="D99" s="6" t="s">
        <v>718</v>
      </c>
      <c r="E99" s="6" t="s">
        <v>719</v>
      </c>
      <c r="F99" s="6" t="s">
        <v>277</v>
      </c>
      <c r="G99" s="6" t="s">
        <v>720</v>
      </c>
      <c r="H99" s="6" t="s">
        <v>721</v>
      </c>
      <c r="I99" s="9" t="s">
        <v>563</v>
      </c>
      <c r="J99" s="9"/>
      <c r="K99" s="9"/>
      <c r="L99" s="9"/>
      <c r="M99" s="11"/>
      <c r="N99" s="18"/>
      <c r="O99" s="18"/>
      <c r="P99" s="11" t="str">
        <f aca="false">IFERROR(INDEX(WBS!$O$6:$O$59,MATCH($F99,WBS!$A$6:$A$59,0)),"")</f>
        <v>セキュリティ担当・SOC</v>
      </c>
    </row>
    <row r="100" customFormat="false" ht="49.5" hidden="false" customHeight="true" outlineLevel="0" collapsed="false">
      <c r="A100" s="6" t="n">
        <v>97</v>
      </c>
      <c r="B100" s="6" t="n">
        <v>103</v>
      </c>
      <c r="C100" s="6" t="s">
        <v>717</v>
      </c>
      <c r="D100" s="6" t="s">
        <v>718</v>
      </c>
      <c r="E100" s="6" t="s">
        <v>722</v>
      </c>
      <c r="F100" s="6" t="s">
        <v>277</v>
      </c>
      <c r="G100" s="6" t="s">
        <v>720</v>
      </c>
      <c r="H100" s="6" t="s">
        <v>721</v>
      </c>
      <c r="I100" s="9" t="s">
        <v>563</v>
      </c>
      <c r="J100" s="9"/>
      <c r="K100" s="9"/>
      <c r="L100" s="9"/>
      <c r="M100" s="11"/>
      <c r="N100" s="18"/>
      <c r="O100" s="18"/>
      <c r="P100" s="11" t="str">
        <f aca="false">IFERROR(INDEX(WBS!$O$6:$O$59,MATCH($F100,WBS!$A$6:$A$59,0)),"")</f>
        <v>セキュリティ担当・SOC</v>
      </c>
    </row>
    <row r="101" customFormat="false" ht="49.5" hidden="false" customHeight="true" outlineLevel="0" collapsed="false">
      <c r="A101" s="6" t="n">
        <v>98</v>
      </c>
      <c r="B101" s="6" t="n">
        <v>90</v>
      </c>
      <c r="C101" s="6" t="s">
        <v>717</v>
      </c>
      <c r="D101" s="6" t="s">
        <v>723</v>
      </c>
      <c r="E101" s="6" t="s">
        <v>724</v>
      </c>
      <c r="F101" s="6" t="s">
        <v>477</v>
      </c>
      <c r="G101" s="6" t="s">
        <v>597</v>
      </c>
      <c r="H101" s="6" t="s">
        <v>725</v>
      </c>
      <c r="I101" s="9" t="s">
        <v>563</v>
      </c>
      <c r="J101" s="9"/>
      <c r="K101" s="9"/>
      <c r="L101" s="9"/>
      <c r="M101" s="11"/>
      <c r="N101" s="18"/>
      <c r="O101" s="18"/>
      <c r="P101" s="11" t="str">
        <f aca="false">IFERROR(INDEX(WBS!$O$6:$O$59,MATCH($F101,WBS!$A$6:$A$59,0)),"")</f>
        <v>各運用責任者・人事・法務</v>
      </c>
    </row>
    <row r="102" customFormat="false" ht="49.5" hidden="false" customHeight="true" outlineLevel="0" collapsed="false">
      <c r="A102" s="6" t="n">
        <v>99</v>
      </c>
      <c r="B102" s="6" t="n">
        <v>93</v>
      </c>
      <c r="C102" s="6" t="s">
        <v>717</v>
      </c>
      <c r="D102" s="6" t="s">
        <v>723</v>
      </c>
      <c r="E102" s="6" t="s">
        <v>726</v>
      </c>
      <c r="F102" s="6" t="s">
        <v>477</v>
      </c>
      <c r="G102" s="6" t="s">
        <v>597</v>
      </c>
      <c r="H102" s="6" t="s">
        <v>725</v>
      </c>
      <c r="I102" s="9" t="s">
        <v>563</v>
      </c>
      <c r="J102" s="9"/>
      <c r="K102" s="9"/>
      <c r="L102" s="9"/>
      <c r="M102" s="11"/>
      <c r="N102" s="18"/>
      <c r="O102" s="18"/>
      <c r="P102" s="11" t="str">
        <f aca="false">IFERROR(INDEX(WBS!$O$6:$O$59,MATCH($F102,WBS!$A$6:$A$59,0)),"")</f>
        <v>各運用責任者・人事・法務</v>
      </c>
    </row>
    <row r="103" customFormat="false" ht="63.75" hidden="false" customHeight="true" outlineLevel="0" collapsed="false">
      <c r="A103" s="6" t="n">
        <v>100</v>
      </c>
      <c r="B103" s="6" t="n">
        <v>111</v>
      </c>
      <c r="C103" s="6" t="s">
        <v>717</v>
      </c>
      <c r="D103" s="6" t="s">
        <v>723</v>
      </c>
      <c r="E103" s="6" t="s">
        <v>727</v>
      </c>
      <c r="F103" s="6" t="s">
        <v>477</v>
      </c>
      <c r="G103" s="6" t="s">
        <v>597</v>
      </c>
      <c r="H103" s="6" t="s">
        <v>725</v>
      </c>
      <c r="I103" s="9" t="s">
        <v>563</v>
      </c>
      <c r="J103" s="9"/>
      <c r="K103" s="9"/>
      <c r="L103" s="9"/>
      <c r="M103" s="11"/>
      <c r="N103" s="18"/>
      <c r="O103" s="18"/>
      <c r="P103" s="11" t="str">
        <f aca="false">IFERROR(INDEX(WBS!$O$6:$O$59,MATCH($F103,WBS!$A$6:$A$59,0)),"")</f>
        <v>各運用責任者・人事・法務</v>
      </c>
    </row>
    <row r="104" customFormat="false" ht="39.75" hidden="false" customHeight="true" outlineLevel="0" collapsed="false">
      <c r="A104" s="6" t="n">
        <v>101</v>
      </c>
      <c r="B104" s="6" t="n">
        <v>112</v>
      </c>
      <c r="C104" s="6" t="s">
        <v>717</v>
      </c>
      <c r="D104" s="6" t="s">
        <v>723</v>
      </c>
      <c r="E104" s="6" t="s">
        <v>728</v>
      </c>
      <c r="F104" s="6" t="s">
        <v>477</v>
      </c>
      <c r="G104" s="6" t="s">
        <v>597</v>
      </c>
      <c r="H104" s="6" t="s">
        <v>725</v>
      </c>
      <c r="I104" s="9" t="s">
        <v>563</v>
      </c>
      <c r="J104" s="9"/>
      <c r="K104" s="9"/>
      <c r="L104" s="9"/>
      <c r="M104" s="11"/>
      <c r="N104" s="18"/>
      <c r="O104" s="18"/>
      <c r="P104" s="11" t="str">
        <f aca="false">IFERROR(INDEX(WBS!$O$6:$O$59,MATCH($F104,WBS!$A$6:$A$59,0)),"")</f>
        <v>各運用責任者・人事・法務</v>
      </c>
    </row>
    <row r="105" customFormat="false" ht="39.75" hidden="false" customHeight="true" outlineLevel="0" collapsed="false">
      <c r="A105" s="6" t="n">
        <v>102</v>
      </c>
      <c r="B105" s="6" t="n">
        <v>164</v>
      </c>
      <c r="C105" s="6" t="s">
        <v>729</v>
      </c>
      <c r="D105" s="6" t="s">
        <v>670</v>
      </c>
      <c r="E105" s="6" t="s">
        <v>730</v>
      </c>
      <c r="F105" s="6" t="s">
        <v>158</v>
      </c>
      <c r="G105" s="6" t="s">
        <v>731</v>
      </c>
      <c r="H105" s="6" t="s">
        <v>732</v>
      </c>
      <c r="I105" s="9" t="s">
        <v>563</v>
      </c>
      <c r="J105" s="9"/>
      <c r="K105" s="9"/>
      <c r="L105" s="9"/>
      <c r="M105" s="11"/>
      <c r="N105" s="18"/>
      <c r="O105" s="18"/>
      <c r="P105" s="11" t="str">
        <f aca="false">IFERROR(INDEX(WBS!$O$6:$O$59,MATCH($F105,WBS!$A$6:$A$59,0)),"")</f>
        <v>IdP管理者</v>
      </c>
    </row>
    <row r="106" customFormat="false" ht="39.75" hidden="false" customHeight="true" outlineLevel="0" collapsed="false">
      <c r="A106" s="6" t="n">
        <v>103</v>
      </c>
      <c r="B106" s="6" t="n">
        <v>85</v>
      </c>
      <c r="C106" s="6" t="s">
        <v>733</v>
      </c>
      <c r="D106" s="6" t="s">
        <v>608</v>
      </c>
      <c r="E106" s="6" t="s">
        <v>734</v>
      </c>
      <c r="F106" s="6" t="s">
        <v>176</v>
      </c>
      <c r="G106" s="6" t="s">
        <v>163</v>
      </c>
      <c r="H106" s="6" t="s">
        <v>605</v>
      </c>
      <c r="I106" s="9" t="s">
        <v>563</v>
      </c>
      <c r="J106" s="9"/>
      <c r="K106" s="9"/>
      <c r="L106" s="9"/>
      <c r="M106" s="11"/>
      <c r="N106" s="18"/>
      <c r="O106" s="18"/>
      <c r="P106" s="11" t="str">
        <f aca="false">IFERROR(INDEX(WBS!$O$6:$O$59,MATCH($F106,WBS!$A$6:$A$59,0)),"")</f>
        <v>IdP管理者・SOC</v>
      </c>
    </row>
    <row r="107" customFormat="false" ht="49.5" hidden="false" customHeight="true" outlineLevel="0" collapsed="false">
      <c r="A107" s="6" t="n">
        <v>104</v>
      </c>
      <c r="B107" s="6" t="n">
        <v>113</v>
      </c>
      <c r="C107" s="6" t="s">
        <v>735</v>
      </c>
      <c r="D107" s="6" t="s">
        <v>736</v>
      </c>
      <c r="E107" s="6" t="s">
        <v>737</v>
      </c>
      <c r="F107" s="6" t="s">
        <v>307</v>
      </c>
      <c r="G107" s="6" t="s">
        <v>193</v>
      </c>
      <c r="H107" s="6" t="s">
        <v>710</v>
      </c>
      <c r="I107" s="9" t="s">
        <v>563</v>
      </c>
      <c r="J107" s="9"/>
      <c r="K107" s="9"/>
      <c r="L107" s="9"/>
      <c r="M107" s="11"/>
      <c r="N107" s="18"/>
      <c r="O107" s="18"/>
      <c r="P107" s="11" t="str">
        <f aca="false">IFERROR(INDEX(WBS!$O$6:$O$59,MATCH($F107,WBS!$A$6:$A$59,0)),"")</f>
        <v>ネットワーク担当</v>
      </c>
    </row>
    <row r="108" customFormat="false" ht="39.75" hidden="false" customHeight="true" outlineLevel="0" collapsed="false">
      <c r="A108" s="6" t="n">
        <v>105</v>
      </c>
      <c r="B108" s="6" t="n">
        <v>94</v>
      </c>
      <c r="C108" s="6" t="s">
        <v>735</v>
      </c>
      <c r="D108" s="6" t="s">
        <v>738</v>
      </c>
      <c r="E108" s="6" t="s">
        <v>739</v>
      </c>
      <c r="F108" s="6" t="s">
        <v>373</v>
      </c>
      <c r="G108" s="6" t="s">
        <v>283</v>
      </c>
      <c r="H108" s="6" t="s">
        <v>740</v>
      </c>
      <c r="I108" s="9" t="s">
        <v>563</v>
      </c>
      <c r="J108" s="9"/>
      <c r="K108" s="9"/>
      <c r="L108" s="9"/>
      <c r="M108" s="11"/>
      <c r="N108" s="18"/>
      <c r="O108" s="18"/>
      <c r="P108" s="11" t="str">
        <f aca="false">IFERROR(INDEX(WBS!$O$6:$O$59,MATCH($F108,WBS!$A$6:$A$59,0)),"")</f>
        <v>メール・VDI管理者</v>
      </c>
    </row>
    <row r="109" customFormat="false" ht="49.5" hidden="false" customHeight="true" outlineLevel="0" collapsed="false">
      <c r="A109" s="6" t="n">
        <v>106</v>
      </c>
      <c r="B109" s="6" t="n">
        <v>95</v>
      </c>
      <c r="C109" s="6" t="s">
        <v>735</v>
      </c>
      <c r="D109" s="6" t="s">
        <v>738</v>
      </c>
      <c r="E109" s="6" t="s">
        <v>741</v>
      </c>
      <c r="F109" s="6" t="s">
        <v>373</v>
      </c>
      <c r="G109" s="6" t="s">
        <v>283</v>
      </c>
      <c r="H109" s="6" t="s">
        <v>740</v>
      </c>
      <c r="I109" s="9" t="s">
        <v>563</v>
      </c>
      <c r="J109" s="9"/>
      <c r="K109" s="9"/>
      <c r="L109" s="9"/>
      <c r="M109" s="11"/>
      <c r="N109" s="18"/>
      <c r="O109" s="18"/>
      <c r="P109" s="11" t="str">
        <f aca="false">IFERROR(INDEX(WBS!$O$6:$O$59,MATCH($F109,WBS!$A$6:$A$59,0)),"")</f>
        <v>メール・VDI管理者</v>
      </c>
    </row>
    <row r="110" customFormat="false" ht="39.75" hidden="false" customHeight="true" outlineLevel="0" collapsed="false">
      <c r="A110" s="6" t="n">
        <v>107</v>
      </c>
      <c r="B110" s="6" t="n">
        <v>97</v>
      </c>
      <c r="C110" s="6" t="s">
        <v>735</v>
      </c>
      <c r="D110" s="6" t="s">
        <v>738</v>
      </c>
      <c r="E110" s="6" t="s">
        <v>742</v>
      </c>
      <c r="F110" s="6" t="s">
        <v>373</v>
      </c>
      <c r="G110" s="6" t="s">
        <v>283</v>
      </c>
      <c r="H110" s="6" t="s">
        <v>740</v>
      </c>
      <c r="I110" s="9" t="s">
        <v>563</v>
      </c>
      <c r="J110" s="9"/>
      <c r="K110" s="9"/>
      <c r="L110" s="9"/>
      <c r="M110" s="11"/>
      <c r="N110" s="18"/>
      <c r="O110" s="18"/>
      <c r="P110" s="11" t="str">
        <f aca="false">IFERROR(INDEX(WBS!$O$6:$O$59,MATCH($F110,WBS!$A$6:$A$59,0)),"")</f>
        <v>メール・VDI管理者</v>
      </c>
    </row>
    <row r="111" customFormat="false" ht="39.75" hidden="false" customHeight="true" outlineLevel="0" collapsed="false">
      <c r="A111" s="6" t="n">
        <v>108</v>
      </c>
      <c r="B111" s="6" t="n">
        <v>98</v>
      </c>
      <c r="C111" s="6" t="s">
        <v>735</v>
      </c>
      <c r="D111" s="6" t="s">
        <v>738</v>
      </c>
      <c r="E111" s="6" t="s">
        <v>743</v>
      </c>
      <c r="F111" s="6" t="s">
        <v>373</v>
      </c>
      <c r="G111" s="6" t="s">
        <v>283</v>
      </c>
      <c r="H111" s="6" t="s">
        <v>740</v>
      </c>
      <c r="I111" s="9" t="s">
        <v>563</v>
      </c>
      <c r="J111" s="9"/>
      <c r="K111" s="9"/>
      <c r="L111" s="9"/>
      <c r="M111" s="11"/>
      <c r="N111" s="18"/>
      <c r="O111" s="18"/>
      <c r="P111" s="11" t="str">
        <f aca="false">IFERROR(INDEX(WBS!$O$6:$O$59,MATCH($F111,WBS!$A$6:$A$59,0)),"")</f>
        <v>メール・VDI管理者</v>
      </c>
    </row>
    <row r="112" customFormat="false" ht="49.5" hidden="false" customHeight="true" outlineLevel="0" collapsed="false">
      <c r="A112" s="6" t="n">
        <v>109</v>
      </c>
      <c r="B112" s="6" t="n">
        <v>99</v>
      </c>
      <c r="C112" s="6" t="s">
        <v>735</v>
      </c>
      <c r="D112" s="6" t="s">
        <v>738</v>
      </c>
      <c r="E112" s="6" t="s">
        <v>744</v>
      </c>
      <c r="F112" s="6" t="s">
        <v>373</v>
      </c>
      <c r="G112" s="6" t="s">
        <v>283</v>
      </c>
      <c r="H112" s="6" t="s">
        <v>740</v>
      </c>
      <c r="I112" s="9" t="s">
        <v>563</v>
      </c>
      <c r="J112" s="9"/>
      <c r="K112" s="9"/>
      <c r="L112" s="9"/>
      <c r="M112" s="11"/>
      <c r="N112" s="18"/>
      <c r="O112" s="18"/>
      <c r="P112" s="11" t="str">
        <f aca="false">IFERROR(INDEX(WBS!$O$6:$O$59,MATCH($F112,WBS!$A$6:$A$59,0)),"")</f>
        <v>メール・VDI管理者</v>
      </c>
    </row>
    <row r="113" customFormat="false" ht="49.5" hidden="false" customHeight="true" outlineLevel="0" collapsed="false">
      <c r="A113" s="6" t="n">
        <v>110</v>
      </c>
      <c r="B113" s="6" t="n">
        <v>101</v>
      </c>
      <c r="C113" s="6" t="s">
        <v>745</v>
      </c>
      <c r="D113" s="6" t="s">
        <v>746</v>
      </c>
      <c r="E113" s="6" t="s">
        <v>747</v>
      </c>
      <c r="F113" s="6" t="s">
        <v>317</v>
      </c>
      <c r="G113" s="6" t="s">
        <v>571</v>
      </c>
      <c r="H113" s="6" t="s">
        <v>615</v>
      </c>
      <c r="I113" s="9" t="s">
        <v>563</v>
      </c>
      <c r="J113" s="9"/>
      <c r="K113" s="9"/>
      <c r="L113" s="9"/>
      <c r="M113" s="11"/>
      <c r="N113" s="18"/>
      <c r="O113" s="18"/>
      <c r="P113" s="11" t="str">
        <f aca="false">IFERROR(INDEX(WBS!$O$6:$O$59,MATCH($F113,WBS!$A$6:$A$59,0)),"")</f>
        <v>AD／Windows管理者</v>
      </c>
    </row>
    <row r="114" customFormat="false" ht="63.75" hidden="false" customHeight="true" outlineLevel="0" collapsed="false">
      <c r="A114" s="6" t="n">
        <v>111</v>
      </c>
      <c r="B114" s="6" t="n">
        <v>100</v>
      </c>
      <c r="C114" s="6" t="s">
        <v>745</v>
      </c>
      <c r="D114" s="6" t="s">
        <v>738</v>
      </c>
      <c r="E114" s="6" t="s">
        <v>748</v>
      </c>
      <c r="F114" s="6" t="s">
        <v>373</v>
      </c>
      <c r="G114" s="6" t="s">
        <v>283</v>
      </c>
      <c r="H114" s="6" t="s">
        <v>749</v>
      </c>
      <c r="I114" s="9" t="s">
        <v>563</v>
      </c>
      <c r="J114" s="9"/>
      <c r="K114" s="9"/>
      <c r="L114" s="9"/>
      <c r="M114" s="11"/>
      <c r="N114" s="18"/>
      <c r="O114" s="18"/>
      <c r="P114" s="11" t="str">
        <f aca="false">IFERROR(INDEX(WBS!$O$6:$O$59,MATCH($F114,WBS!$A$6:$A$59,0)),"")</f>
        <v>メール・VDI管理者</v>
      </c>
    </row>
    <row r="115" customFormat="false" ht="91.5" hidden="false" customHeight="true" outlineLevel="0" collapsed="false">
      <c r="A115" s="6" t="n">
        <v>112</v>
      </c>
      <c r="B115" s="6" t="n">
        <v>133</v>
      </c>
      <c r="C115" s="6" t="s">
        <v>750</v>
      </c>
      <c r="D115" s="6" t="s">
        <v>751</v>
      </c>
      <c r="E115" s="6" t="s">
        <v>752</v>
      </c>
      <c r="F115" s="6" t="s">
        <v>341</v>
      </c>
      <c r="G115" s="6" t="s">
        <v>571</v>
      </c>
      <c r="H115" s="6" t="s">
        <v>753</v>
      </c>
      <c r="I115" s="9" t="s">
        <v>563</v>
      </c>
      <c r="J115" s="9"/>
      <c r="K115" s="9"/>
      <c r="L115" s="9"/>
      <c r="M115" s="11"/>
      <c r="N115" s="18"/>
      <c r="O115" s="18"/>
      <c r="P115" s="11" t="str">
        <f aca="false">IFERROR(INDEX(WBS!$O$6:$O$59,MATCH($F115,WBS!$A$6:$A$59,0)),"")</f>
        <v>仮想化基盤・セキュリティ運用担当</v>
      </c>
    </row>
    <row r="116" customFormat="false" ht="63.75" hidden="false" customHeight="true" outlineLevel="0" collapsed="false">
      <c r="A116" s="6" t="n">
        <v>113</v>
      </c>
      <c r="B116" s="6" t="n">
        <v>144</v>
      </c>
      <c r="C116" s="6" t="s">
        <v>754</v>
      </c>
      <c r="D116" s="6" t="s">
        <v>667</v>
      </c>
      <c r="E116" s="6" t="s">
        <v>755</v>
      </c>
      <c r="F116" s="6" t="s">
        <v>307</v>
      </c>
      <c r="G116" s="6" t="s">
        <v>193</v>
      </c>
      <c r="H116" s="6" t="s">
        <v>710</v>
      </c>
      <c r="I116" s="9" t="s">
        <v>563</v>
      </c>
      <c r="J116" s="9"/>
      <c r="K116" s="9"/>
      <c r="L116" s="9"/>
      <c r="M116" s="11"/>
      <c r="N116" s="18"/>
      <c r="O116" s="18"/>
      <c r="P116" s="11" t="str">
        <f aca="false">IFERROR(INDEX(WBS!$O$6:$O$59,MATCH($F116,WBS!$A$6:$A$59,0)),"")</f>
        <v>ネットワーク担当</v>
      </c>
    </row>
    <row r="117" customFormat="false" ht="39.75" hidden="false" customHeight="true" outlineLevel="0" collapsed="false">
      <c r="A117" s="6" t="n">
        <v>114</v>
      </c>
      <c r="B117" s="6" t="n">
        <v>145</v>
      </c>
      <c r="C117" s="6" t="s">
        <v>754</v>
      </c>
      <c r="D117" s="6" t="s">
        <v>667</v>
      </c>
      <c r="E117" s="6" t="s">
        <v>756</v>
      </c>
      <c r="F117" s="6" t="s">
        <v>307</v>
      </c>
      <c r="G117" s="6" t="s">
        <v>193</v>
      </c>
      <c r="H117" s="6" t="s">
        <v>710</v>
      </c>
      <c r="I117" s="9" t="s">
        <v>563</v>
      </c>
      <c r="J117" s="9"/>
      <c r="K117" s="9"/>
      <c r="L117" s="9"/>
      <c r="M117" s="11"/>
      <c r="N117" s="18"/>
      <c r="O117" s="18"/>
      <c r="P117" s="11" t="str">
        <f aca="false">IFERROR(INDEX(WBS!$O$6:$O$59,MATCH($F117,WBS!$A$6:$A$59,0)),"")</f>
        <v>ネットワーク担当</v>
      </c>
    </row>
    <row r="118" customFormat="false" ht="78" hidden="false" customHeight="true" outlineLevel="0" collapsed="false">
      <c r="A118" s="6" t="n">
        <v>115</v>
      </c>
      <c r="B118" s="6" t="n">
        <v>177</v>
      </c>
      <c r="C118" s="6" t="s">
        <v>754</v>
      </c>
      <c r="D118" s="6" t="s">
        <v>757</v>
      </c>
      <c r="E118" s="6" t="s">
        <v>758</v>
      </c>
      <c r="F118" s="6" t="s">
        <v>299</v>
      </c>
      <c r="G118" s="6" t="s">
        <v>163</v>
      </c>
      <c r="H118" s="6" t="s">
        <v>759</v>
      </c>
      <c r="I118" s="9" t="s">
        <v>563</v>
      </c>
      <c r="J118" s="9"/>
      <c r="K118" s="9"/>
      <c r="L118" s="9"/>
      <c r="M118" s="11"/>
      <c r="N118" s="18"/>
      <c r="O118" s="18"/>
      <c r="P118" s="11" t="str">
        <f aca="false">IFERROR(INDEX(WBS!$O$6:$O$59,MATCH($F118,WBS!$A$6:$A$59,0)),"")</f>
        <v>セキュリティ担当</v>
      </c>
    </row>
    <row r="119" customFormat="false" ht="39.75" hidden="false" customHeight="true" outlineLevel="0" collapsed="false">
      <c r="A119" s="6" t="n">
        <v>116</v>
      </c>
      <c r="B119" s="6" t="n">
        <v>179</v>
      </c>
      <c r="C119" s="6" t="s">
        <v>754</v>
      </c>
      <c r="D119" s="6" t="s">
        <v>757</v>
      </c>
      <c r="E119" s="6" t="s">
        <v>760</v>
      </c>
      <c r="F119" s="6" t="s">
        <v>299</v>
      </c>
      <c r="G119" s="6" t="s">
        <v>163</v>
      </c>
      <c r="H119" s="6" t="s">
        <v>761</v>
      </c>
      <c r="I119" s="9" t="s">
        <v>563</v>
      </c>
      <c r="J119" s="9"/>
      <c r="K119" s="9"/>
      <c r="L119" s="9"/>
      <c r="M119" s="11"/>
      <c r="N119" s="18"/>
      <c r="O119" s="18"/>
      <c r="P119" s="11" t="str">
        <f aca="false">IFERROR(INDEX(WBS!$O$6:$O$59,MATCH($F119,WBS!$A$6:$A$59,0)),"")</f>
        <v>セキュリティ担当</v>
      </c>
    </row>
    <row r="120" customFormat="false" ht="39.75" hidden="false" customHeight="true" outlineLevel="0" collapsed="false">
      <c r="A120" s="6" t="n">
        <v>117</v>
      </c>
      <c r="B120" s="6" t="n">
        <v>123</v>
      </c>
      <c r="C120" s="6" t="s">
        <v>754</v>
      </c>
      <c r="D120" s="6" t="s">
        <v>762</v>
      </c>
      <c r="E120" s="6" t="s">
        <v>763</v>
      </c>
      <c r="F120" s="6" t="s">
        <v>268</v>
      </c>
      <c r="G120" s="6" t="s">
        <v>193</v>
      </c>
      <c r="H120" s="6" t="s">
        <v>562</v>
      </c>
      <c r="I120" s="9" t="s">
        <v>563</v>
      </c>
      <c r="J120" s="9"/>
      <c r="K120" s="9"/>
      <c r="L120" s="9"/>
      <c r="M120" s="11"/>
      <c r="N120" s="18"/>
      <c r="O120" s="18"/>
      <c r="P120" s="11" t="str">
        <f aca="false">IFERROR(INDEX(WBS!$O$6:$O$59,MATCH($F120,WBS!$A$6:$A$59,0)),"")</f>
        <v>資産管理担当</v>
      </c>
    </row>
    <row r="121" customFormat="false" ht="63.75" hidden="false" customHeight="true" outlineLevel="0" collapsed="false">
      <c r="A121" s="6" t="n">
        <v>118</v>
      </c>
      <c r="B121" s="6" t="n">
        <v>152</v>
      </c>
      <c r="C121" s="6" t="s">
        <v>764</v>
      </c>
      <c r="D121" s="6" t="s">
        <v>569</v>
      </c>
      <c r="E121" s="6" t="s">
        <v>765</v>
      </c>
      <c r="F121" s="6" t="s">
        <v>317</v>
      </c>
      <c r="G121" s="6" t="s">
        <v>571</v>
      </c>
      <c r="H121" s="6" t="s">
        <v>572</v>
      </c>
      <c r="I121" s="9" t="s">
        <v>563</v>
      </c>
      <c r="J121" s="9"/>
      <c r="K121" s="9"/>
      <c r="L121" s="9"/>
      <c r="M121" s="11"/>
      <c r="N121" s="18"/>
      <c r="O121" s="18"/>
      <c r="P121" s="11" t="str">
        <f aca="false">IFERROR(INDEX(WBS!$O$6:$O$59,MATCH($F121,WBS!$A$6:$A$59,0)),"")</f>
        <v>AD／Windows管理者</v>
      </c>
    </row>
    <row r="122" customFormat="false" ht="49.5" hidden="false" customHeight="true" outlineLevel="0" collapsed="false">
      <c r="A122" s="6" t="n">
        <v>119</v>
      </c>
      <c r="B122" s="6" t="n">
        <v>155</v>
      </c>
      <c r="C122" s="6" t="s">
        <v>764</v>
      </c>
      <c r="D122" s="6" t="s">
        <v>569</v>
      </c>
      <c r="E122" s="6" t="s">
        <v>766</v>
      </c>
      <c r="F122" s="6" t="s">
        <v>317</v>
      </c>
      <c r="G122" s="6" t="s">
        <v>571</v>
      </c>
      <c r="H122" s="6" t="s">
        <v>572</v>
      </c>
      <c r="I122" s="9" t="s">
        <v>563</v>
      </c>
      <c r="J122" s="9"/>
      <c r="K122" s="9"/>
      <c r="L122" s="9"/>
      <c r="M122" s="11"/>
      <c r="N122" s="18"/>
      <c r="O122" s="18"/>
      <c r="P122" s="11" t="str">
        <f aca="false">IFERROR(INDEX(WBS!$O$6:$O$59,MATCH($F122,WBS!$A$6:$A$59,0)),"")</f>
        <v>AD／Windows管理者</v>
      </c>
    </row>
    <row r="123" customFormat="false" ht="49.5" hidden="false" customHeight="true" outlineLevel="0" collapsed="false">
      <c r="A123" s="6" t="n">
        <v>120</v>
      </c>
      <c r="B123" s="6" t="n">
        <v>159</v>
      </c>
      <c r="C123" s="6" t="s">
        <v>764</v>
      </c>
      <c r="D123" s="6" t="s">
        <v>569</v>
      </c>
      <c r="E123" s="6" t="s">
        <v>767</v>
      </c>
      <c r="F123" s="6" t="s">
        <v>317</v>
      </c>
      <c r="G123" s="6" t="s">
        <v>571</v>
      </c>
      <c r="H123" s="6" t="s">
        <v>572</v>
      </c>
      <c r="I123" s="9" t="s">
        <v>563</v>
      </c>
      <c r="J123" s="9"/>
      <c r="K123" s="9"/>
      <c r="L123" s="9"/>
      <c r="M123" s="11"/>
      <c r="N123" s="18"/>
      <c r="O123" s="18"/>
      <c r="P123" s="11" t="str">
        <f aca="false">IFERROR(INDEX(WBS!$O$6:$O$59,MATCH($F123,WBS!$A$6:$A$59,0)),"")</f>
        <v>AD／Windows管理者</v>
      </c>
    </row>
    <row r="124" customFormat="false" ht="39.75" hidden="false" customHeight="true" outlineLevel="0" collapsed="false">
      <c r="A124" s="6" t="n">
        <v>121</v>
      </c>
      <c r="B124" s="6" t="n">
        <v>107</v>
      </c>
      <c r="C124" s="6" t="s">
        <v>764</v>
      </c>
      <c r="D124" s="6" t="s">
        <v>768</v>
      </c>
      <c r="E124" s="6" t="s">
        <v>769</v>
      </c>
      <c r="F124" s="6" t="s">
        <v>277</v>
      </c>
      <c r="G124" s="6" t="s">
        <v>720</v>
      </c>
      <c r="H124" s="6" t="s">
        <v>721</v>
      </c>
      <c r="I124" s="9" t="s">
        <v>563</v>
      </c>
      <c r="J124" s="9"/>
      <c r="K124" s="9"/>
      <c r="L124" s="9"/>
      <c r="M124" s="11"/>
      <c r="N124" s="18"/>
      <c r="O124" s="18"/>
      <c r="P124" s="11" t="str">
        <f aca="false">IFERROR(INDEX(WBS!$O$6:$O$59,MATCH($F124,WBS!$A$6:$A$59,0)),"")</f>
        <v>セキュリティ担当・SOC</v>
      </c>
    </row>
    <row r="125" customFormat="false" ht="49.5" hidden="false" customHeight="true" outlineLevel="0" collapsed="false">
      <c r="A125" s="6" t="n">
        <v>122</v>
      </c>
      <c r="B125" s="6" t="n">
        <v>147</v>
      </c>
      <c r="C125" s="6" t="s">
        <v>764</v>
      </c>
      <c r="D125" s="6" t="s">
        <v>621</v>
      </c>
      <c r="E125" s="6" t="s">
        <v>770</v>
      </c>
      <c r="F125" s="6" t="s">
        <v>317</v>
      </c>
      <c r="G125" s="6" t="s">
        <v>571</v>
      </c>
      <c r="H125" s="6" t="s">
        <v>615</v>
      </c>
      <c r="I125" s="9" t="s">
        <v>563</v>
      </c>
      <c r="J125" s="9"/>
      <c r="K125" s="9"/>
      <c r="L125" s="9"/>
      <c r="M125" s="11"/>
      <c r="N125" s="18"/>
      <c r="O125" s="18"/>
      <c r="P125" s="11" t="str">
        <f aca="false">IFERROR(INDEX(WBS!$O$6:$O$59,MATCH($F125,WBS!$A$6:$A$59,0)),"")</f>
        <v>AD／Windows管理者</v>
      </c>
    </row>
    <row r="126" customFormat="false" ht="39.75" hidden="false" customHeight="true" outlineLevel="0" collapsed="false">
      <c r="A126" s="6" t="n">
        <v>123</v>
      </c>
      <c r="B126" s="6" t="n">
        <v>114</v>
      </c>
      <c r="C126" s="6" t="s">
        <v>764</v>
      </c>
      <c r="D126" s="6" t="s">
        <v>771</v>
      </c>
      <c r="E126" s="6" t="s">
        <v>772</v>
      </c>
      <c r="F126" s="6" t="s">
        <v>217</v>
      </c>
      <c r="G126" s="6" t="s">
        <v>773</v>
      </c>
      <c r="H126" s="6" t="s">
        <v>774</v>
      </c>
      <c r="I126" s="9" t="s">
        <v>563</v>
      </c>
      <c r="J126" s="9"/>
      <c r="K126" s="9"/>
      <c r="L126" s="9"/>
      <c r="M126" s="11"/>
      <c r="N126" s="18"/>
      <c r="O126" s="18"/>
      <c r="P126" s="11" t="str">
        <f aca="false">IFERROR(INDEX(WBS!$O$6:$O$59,MATCH($F126,WBS!$A$6:$A$59,0)),"")</f>
        <v>セキュリティ担当</v>
      </c>
    </row>
    <row r="127" customFormat="false" ht="39.75" hidden="false" customHeight="true" outlineLevel="0" collapsed="false">
      <c r="A127" s="6" t="n">
        <v>124</v>
      </c>
      <c r="B127" s="6" t="n">
        <v>115</v>
      </c>
      <c r="C127" s="6" t="s">
        <v>764</v>
      </c>
      <c r="D127" s="6" t="s">
        <v>771</v>
      </c>
      <c r="E127" s="6" t="s">
        <v>775</v>
      </c>
      <c r="F127" s="6" t="s">
        <v>217</v>
      </c>
      <c r="G127" s="6" t="s">
        <v>773</v>
      </c>
      <c r="H127" s="6" t="s">
        <v>774</v>
      </c>
      <c r="I127" s="9" t="s">
        <v>563</v>
      </c>
      <c r="J127" s="9"/>
      <c r="K127" s="9"/>
      <c r="L127" s="9"/>
      <c r="M127" s="11"/>
      <c r="N127" s="18"/>
      <c r="O127" s="18"/>
      <c r="P127" s="11" t="str">
        <f aca="false">IFERROR(INDEX(WBS!$O$6:$O$59,MATCH($F127,WBS!$A$6:$A$59,0)),"")</f>
        <v>セキュリティ担当</v>
      </c>
    </row>
    <row r="128" customFormat="false" ht="63.75" hidden="false" customHeight="true" outlineLevel="0" collapsed="false">
      <c r="A128" s="6" t="n">
        <v>125</v>
      </c>
      <c r="B128" s="6" t="n">
        <v>104</v>
      </c>
      <c r="C128" s="6" t="s">
        <v>764</v>
      </c>
      <c r="D128" s="6" t="s">
        <v>776</v>
      </c>
      <c r="E128" s="6" t="s">
        <v>777</v>
      </c>
      <c r="F128" s="6" t="s">
        <v>225</v>
      </c>
      <c r="G128" s="6" t="s">
        <v>193</v>
      </c>
      <c r="H128" s="6" t="s">
        <v>778</v>
      </c>
      <c r="I128" s="9" t="s">
        <v>563</v>
      </c>
      <c r="J128" s="9"/>
      <c r="K128" s="9"/>
      <c r="L128" s="9"/>
      <c r="M128" s="11"/>
      <c r="N128" s="18"/>
      <c r="O128" s="18"/>
      <c r="P128" s="11" t="str">
        <f aca="false">IFERROR(INDEX(WBS!$O$6:$O$59,MATCH($F128,WBS!$A$6:$A$59,0)),"")</f>
        <v>Workspace管理者</v>
      </c>
    </row>
    <row r="129" customFormat="false" ht="49.5" hidden="false" customHeight="true" outlineLevel="0" collapsed="false">
      <c r="A129" s="6" t="n">
        <v>126</v>
      </c>
      <c r="B129" s="6" t="n">
        <v>105</v>
      </c>
      <c r="C129" s="6" t="s">
        <v>764</v>
      </c>
      <c r="D129" s="6" t="s">
        <v>776</v>
      </c>
      <c r="E129" s="6" t="s">
        <v>779</v>
      </c>
      <c r="F129" s="6" t="s">
        <v>341</v>
      </c>
      <c r="G129" s="6" t="s">
        <v>571</v>
      </c>
      <c r="H129" s="6" t="s">
        <v>753</v>
      </c>
      <c r="I129" s="9" t="s">
        <v>563</v>
      </c>
      <c r="J129" s="9"/>
      <c r="K129" s="9"/>
      <c r="L129" s="9"/>
      <c r="M129" s="11"/>
      <c r="N129" s="18"/>
      <c r="O129" s="18"/>
      <c r="P129" s="11" t="str">
        <f aca="false">IFERROR(INDEX(WBS!$O$6:$O$59,MATCH($F129,WBS!$A$6:$A$59,0)),"")</f>
        <v>仮想化基盤・セキュリティ運用担当</v>
      </c>
    </row>
    <row r="130" customFormat="false" ht="39.75" hidden="false" customHeight="true" outlineLevel="0" collapsed="false">
      <c r="A130" s="6" t="n">
        <v>127</v>
      </c>
      <c r="B130" s="6" t="n">
        <v>106</v>
      </c>
      <c r="C130" s="6" t="s">
        <v>764</v>
      </c>
      <c r="D130" s="6" t="s">
        <v>776</v>
      </c>
      <c r="E130" s="6" t="s">
        <v>780</v>
      </c>
      <c r="F130" s="6" t="s">
        <v>225</v>
      </c>
      <c r="G130" s="6" t="s">
        <v>193</v>
      </c>
      <c r="H130" s="6" t="s">
        <v>778</v>
      </c>
      <c r="I130" s="9" t="s">
        <v>563</v>
      </c>
      <c r="J130" s="9"/>
      <c r="K130" s="9"/>
      <c r="L130" s="9"/>
      <c r="M130" s="11"/>
      <c r="N130" s="18"/>
      <c r="O130" s="18"/>
      <c r="P130" s="11" t="str">
        <f aca="false">IFERROR(INDEX(WBS!$O$6:$O$59,MATCH($F130,WBS!$A$6:$A$59,0)),"")</f>
        <v>Workspace管理者</v>
      </c>
    </row>
    <row r="131" customFormat="false" ht="39.75" hidden="false" customHeight="true" outlineLevel="0" collapsed="false">
      <c r="A131" s="6" t="n">
        <v>128</v>
      </c>
      <c r="B131" s="6" t="n">
        <v>125</v>
      </c>
      <c r="C131" s="6" t="s">
        <v>764</v>
      </c>
      <c r="D131" s="6" t="s">
        <v>776</v>
      </c>
      <c r="E131" s="6" t="s">
        <v>781</v>
      </c>
      <c r="F131" s="6" t="s">
        <v>225</v>
      </c>
      <c r="G131" s="6" t="s">
        <v>193</v>
      </c>
      <c r="H131" s="6" t="s">
        <v>778</v>
      </c>
      <c r="I131" s="9" t="s">
        <v>563</v>
      </c>
      <c r="J131" s="9"/>
      <c r="K131" s="9"/>
      <c r="L131" s="9"/>
      <c r="M131" s="11"/>
      <c r="N131" s="18"/>
      <c r="O131" s="18"/>
      <c r="P131" s="11" t="str">
        <f aca="false">IFERROR(INDEX(WBS!$O$6:$O$59,MATCH($F131,WBS!$A$6:$A$59,0)),"")</f>
        <v>Workspace管理者</v>
      </c>
    </row>
    <row r="132" customFormat="false" ht="39.75" hidden="false" customHeight="true" outlineLevel="0" collapsed="false">
      <c r="A132" s="6" t="n">
        <v>129</v>
      </c>
      <c r="B132" s="6" t="n">
        <v>41</v>
      </c>
      <c r="C132" s="6" t="s">
        <v>764</v>
      </c>
      <c r="D132" s="6" t="s">
        <v>651</v>
      </c>
      <c r="E132" s="6" t="s">
        <v>782</v>
      </c>
      <c r="F132" s="6" t="s">
        <v>268</v>
      </c>
      <c r="G132" s="6" t="s">
        <v>193</v>
      </c>
      <c r="H132" s="6" t="s">
        <v>584</v>
      </c>
      <c r="I132" s="9" t="s">
        <v>563</v>
      </c>
      <c r="J132" s="9"/>
      <c r="K132" s="9"/>
      <c r="L132" s="9"/>
      <c r="M132" s="11"/>
      <c r="N132" s="18"/>
      <c r="O132" s="18"/>
      <c r="P132" s="11" t="str">
        <f aca="false">IFERROR(INDEX(WBS!$O$6:$O$59,MATCH($F132,WBS!$A$6:$A$59,0)),"")</f>
        <v>資産管理担当</v>
      </c>
    </row>
    <row r="133" customFormat="false" ht="39.75" hidden="false" customHeight="true" outlineLevel="0" collapsed="false">
      <c r="A133" s="6" t="n">
        <v>130</v>
      </c>
      <c r="B133" s="6" t="n">
        <v>32</v>
      </c>
      <c r="C133" s="6" t="s">
        <v>764</v>
      </c>
      <c r="D133" s="6" t="s">
        <v>783</v>
      </c>
      <c r="E133" s="6" t="s">
        <v>784</v>
      </c>
      <c r="F133" s="6" t="s">
        <v>106</v>
      </c>
      <c r="G133" s="6" t="s">
        <v>785</v>
      </c>
      <c r="H133" s="6" t="s">
        <v>786</v>
      </c>
      <c r="I133" s="9" t="s">
        <v>563</v>
      </c>
      <c r="J133" s="9"/>
      <c r="K133" s="9"/>
      <c r="L133" s="9"/>
      <c r="M133" s="11"/>
      <c r="N133" s="18"/>
      <c r="O133" s="18"/>
      <c r="P133" s="11" t="str">
        <f aca="false">IFERROR(INDEX(WBS!$O$6:$O$59,MATCH($F133,WBS!$A$6:$A$59,0)),"")</f>
        <v>端末管理者</v>
      </c>
    </row>
    <row r="134" customFormat="false" ht="39.75" hidden="false" customHeight="true" outlineLevel="0" collapsed="false">
      <c r="A134" s="6" t="n">
        <v>131</v>
      </c>
      <c r="B134" s="6" t="n">
        <v>33</v>
      </c>
      <c r="C134" s="6" t="s">
        <v>764</v>
      </c>
      <c r="D134" s="6" t="s">
        <v>783</v>
      </c>
      <c r="E134" s="6" t="s">
        <v>787</v>
      </c>
      <c r="F134" s="6" t="s">
        <v>106</v>
      </c>
      <c r="G134" s="6" t="s">
        <v>785</v>
      </c>
      <c r="H134" s="6" t="s">
        <v>786</v>
      </c>
      <c r="I134" s="9" t="s">
        <v>563</v>
      </c>
      <c r="J134" s="9"/>
      <c r="K134" s="9"/>
      <c r="L134" s="9"/>
      <c r="M134" s="11"/>
      <c r="N134" s="18"/>
      <c r="O134" s="18"/>
      <c r="P134" s="11" t="str">
        <f aca="false">IFERROR(INDEX(WBS!$O$6:$O$59,MATCH($F134,WBS!$A$6:$A$59,0)),"")</f>
        <v>端末管理者</v>
      </c>
    </row>
    <row r="135" customFormat="false" ht="39.75" hidden="false" customHeight="true" outlineLevel="0" collapsed="false">
      <c r="A135" s="6" t="n">
        <v>132</v>
      </c>
      <c r="B135" s="6" t="n">
        <v>34</v>
      </c>
      <c r="C135" s="6" t="s">
        <v>764</v>
      </c>
      <c r="D135" s="6" t="s">
        <v>783</v>
      </c>
      <c r="E135" s="6" t="s">
        <v>788</v>
      </c>
      <c r="F135" s="6" t="s">
        <v>106</v>
      </c>
      <c r="G135" s="6" t="s">
        <v>785</v>
      </c>
      <c r="H135" s="6" t="s">
        <v>786</v>
      </c>
      <c r="I135" s="9" t="s">
        <v>563</v>
      </c>
      <c r="J135" s="9"/>
      <c r="K135" s="9"/>
      <c r="L135" s="9"/>
      <c r="M135" s="11"/>
      <c r="N135" s="18"/>
      <c r="O135" s="18"/>
      <c r="P135" s="11" t="str">
        <f aca="false">IFERROR(INDEX(WBS!$O$6:$O$59,MATCH($F135,WBS!$A$6:$A$59,0)),"")</f>
        <v>端末管理者</v>
      </c>
    </row>
    <row r="136" customFormat="false" ht="39.75" hidden="false" customHeight="true" outlineLevel="0" collapsed="false">
      <c r="A136" s="6" t="n">
        <v>133</v>
      </c>
      <c r="B136" s="6" t="n">
        <v>35</v>
      </c>
      <c r="C136" s="6" t="s">
        <v>764</v>
      </c>
      <c r="D136" s="6" t="s">
        <v>783</v>
      </c>
      <c r="E136" s="6" t="s">
        <v>789</v>
      </c>
      <c r="F136" s="6" t="s">
        <v>106</v>
      </c>
      <c r="G136" s="6" t="s">
        <v>785</v>
      </c>
      <c r="H136" s="6" t="s">
        <v>786</v>
      </c>
      <c r="I136" s="9" t="s">
        <v>563</v>
      </c>
      <c r="J136" s="9"/>
      <c r="K136" s="9"/>
      <c r="L136" s="9"/>
      <c r="M136" s="11"/>
      <c r="N136" s="18"/>
      <c r="O136" s="18"/>
      <c r="P136" s="11" t="str">
        <f aca="false">IFERROR(INDEX(WBS!$O$6:$O$59,MATCH($F136,WBS!$A$6:$A$59,0)),"")</f>
        <v>端末管理者</v>
      </c>
    </row>
    <row r="137" customFormat="false" ht="78" hidden="false" customHeight="true" outlineLevel="0" collapsed="false">
      <c r="A137" s="6" t="n">
        <v>134</v>
      </c>
      <c r="B137" s="6" t="n">
        <v>176</v>
      </c>
      <c r="C137" s="6" t="s">
        <v>764</v>
      </c>
      <c r="D137" s="6" t="s">
        <v>757</v>
      </c>
      <c r="E137" s="6" t="s">
        <v>790</v>
      </c>
      <c r="F137" s="6" t="s">
        <v>299</v>
      </c>
      <c r="G137" s="6" t="s">
        <v>163</v>
      </c>
      <c r="H137" s="6" t="s">
        <v>759</v>
      </c>
      <c r="I137" s="9" t="s">
        <v>563</v>
      </c>
      <c r="J137" s="9"/>
      <c r="K137" s="9"/>
      <c r="L137" s="9"/>
      <c r="M137" s="11"/>
      <c r="N137" s="18"/>
      <c r="O137" s="18"/>
      <c r="P137" s="11" t="str">
        <f aca="false">IFERROR(INDEX(WBS!$O$6:$O$59,MATCH($F137,WBS!$A$6:$A$59,0)),"")</f>
        <v>セキュリティ担当</v>
      </c>
    </row>
    <row r="138" customFormat="false" ht="49.5" hidden="false" customHeight="true" outlineLevel="0" collapsed="false">
      <c r="A138" s="6" t="n">
        <v>135</v>
      </c>
      <c r="B138" s="6" t="n">
        <v>10</v>
      </c>
      <c r="C138" s="6" t="s">
        <v>791</v>
      </c>
      <c r="D138" s="6" t="s">
        <v>651</v>
      </c>
      <c r="E138" s="6" t="s">
        <v>792</v>
      </c>
      <c r="F138" s="6" t="s">
        <v>394</v>
      </c>
      <c r="G138" s="6" t="s">
        <v>401</v>
      </c>
      <c r="H138" s="6" t="s">
        <v>793</v>
      </c>
      <c r="I138" s="9" t="s">
        <v>563</v>
      </c>
      <c r="J138" s="9"/>
      <c r="K138" s="9"/>
      <c r="L138" s="9"/>
      <c r="M138" s="11"/>
      <c r="N138" s="18"/>
      <c r="O138" s="18"/>
      <c r="P138" s="11" t="str">
        <f aca="false">IFERROR(INDEX(WBS!$O$6:$O$59,MATCH($F138,WBS!$A$6:$A$59,0)),"")</f>
        <v>データ所有者・バックアップ担当</v>
      </c>
    </row>
    <row r="139" customFormat="false" ht="63.75" hidden="false" customHeight="true" outlineLevel="0" collapsed="false">
      <c r="A139" s="6" t="n">
        <v>136</v>
      </c>
      <c r="B139" s="6" t="n">
        <v>138</v>
      </c>
      <c r="C139" s="6" t="s">
        <v>791</v>
      </c>
      <c r="D139" s="6" t="s">
        <v>794</v>
      </c>
      <c r="E139" s="6" t="s">
        <v>795</v>
      </c>
      <c r="F139" s="6" t="s">
        <v>394</v>
      </c>
      <c r="G139" s="6" t="s">
        <v>401</v>
      </c>
      <c r="H139" s="6" t="s">
        <v>796</v>
      </c>
      <c r="I139" s="9" t="s">
        <v>563</v>
      </c>
      <c r="J139" s="9"/>
      <c r="K139" s="9"/>
      <c r="L139" s="9"/>
      <c r="M139" s="11" t="s">
        <v>797</v>
      </c>
      <c r="N139" s="18"/>
      <c r="O139" s="18"/>
      <c r="P139" s="11" t="str">
        <f aca="false">IFERROR(INDEX(WBS!$O$6:$O$59,MATCH($F139,WBS!$A$6:$A$59,0)),"")</f>
        <v>データ所有者・バックアップ担当</v>
      </c>
    </row>
    <row r="140" customFormat="false" ht="49.5" hidden="false" customHeight="true" outlineLevel="0" collapsed="false">
      <c r="A140" s="6" t="n">
        <v>137</v>
      </c>
      <c r="B140" s="6" t="n">
        <v>139</v>
      </c>
      <c r="C140" s="6" t="s">
        <v>791</v>
      </c>
      <c r="D140" s="6" t="s">
        <v>798</v>
      </c>
      <c r="E140" s="6" t="s">
        <v>799</v>
      </c>
      <c r="F140" s="6" t="s">
        <v>394</v>
      </c>
      <c r="G140" s="6" t="s">
        <v>401</v>
      </c>
      <c r="H140" s="6" t="s">
        <v>796</v>
      </c>
      <c r="I140" s="9" t="s">
        <v>563</v>
      </c>
      <c r="J140" s="9"/>
      <c r="K140" s="9"/>
      <c r="L140" s="9"/>
      <c r="M140" s="11" t="s">
        <v>797</v>
      </c>
      <c r="N140" s="18"/>
      <c r="O140" s="18"/>
      <c r="P140" s="11" t="str">
        <f aca="false">IFERROR(INDEX(WBS!$O$6:$O$59,MATCH($F140,WBS!$A$6:$A$59,0)),"")</f>
        <v>データ所有者・バックアップ担当</v>
      </c>
    </row>
    <row r="141" customFormat="false" ht="49.5" hidden="false" customHeight="true" outlineLevel="0" collapsed="false">
      <c r="A141" s="6" t="n">
        <v>138</v>
      </c>
      <c r="B141" s="6" t="n">
        <v>1</v>
      </c>
      <c r="C141" s="6" t="s">
        <v>791</v>
      </c>
      <c r="D141" s="6" t="s">
        <v>396</v>
      </c>
      <c r="E141" s="6" t="s">
        <v>800</v>
      </c>
      <c r="F141" s="6" t="s">
        <v>394</v>
      </c>
      <c r="G141" s="6" t="s">
        <v>401</v>
      </c>
      <c r="H141" s="6" t="s">
        <v>801</v>
      </c>
      <c r="I141" s="9" t="s">
        <v>563</v>
      </c>
      <c r="J141" s="9"/>
      <c r="K141" s="9"/>
      <c r="L141" s="9"/>
      <c r="M141" s="11" t="s">
        <v>797</v>
      </c>
      <c r="N141" s="18"/>
      <c r="O141" s="18"/>
      <c r="P141" s="11" t="str">
        <f aca="false">IFERROR(INDEX(WBS!$O$6:$O$59,MATCH($F141,WBS!$A$6:$A$59,0)),"")</f>
        <v>データ所有者・バックアップ担当</v>
      </c>
    </row>
    <row r="142" customFormat="false" ht="49.5" hidden="false" customHeight="true" outlineLevel="0" collapsed="false">
      <c r="A142" s="6" t="n">
        <v>139</v>
      </c>
      <c r="B142" s="6" t="n">
        <v>8</v>
      </c>
      <c r="C142" s="6" t="s">
        <v>791</v>
      </c>
      <c r="D142" s="6" t="s">
        <v>396</v>
      </c>
      <c r="E142" s="6" t="s">
        <v>802</v>
      </c>
      <c r="F142" s="6" t="s">
        <v>448</v>
      </c>
      <c r="G142" s="6" t="s">
        <v>193</v>
      </c>
      <c r="H142" s="6" t="s">
        <v>803</v>
      </c>
      <c r="I142" s="9" t="s">
        <v>563</v>
      </c>
      <c r="J142" s="9"/>
      <c r="K142" s="9"/>
      <c r="L142" s="9"/>
      <c r="M142" s="11" t="s">
        <v>394</v>
      </c>
      <c r="N142" s="18"/>
      <c r="O142" s="18"/>
      <c r="P142" s="11" t="str">
        <f aca="false">IFERROR(INDEX(WBS!$O$6:$O$59,MATCH($F142,WBS!$A$6:$A$59,0)),"")</f>
        <v>端末管理者</v>
      </c>
    </row>
    <row r="143" customFormat="false" ht="49.5" hidden="false" customHeight="true" outlineLevel="0" collapsed="false">
      <c r="A143" s="6" t="n">
        <v>140</v>
      </c>
      <c r="B143" s="6" t="n">
        <v>9</v>
      </c>
      <c r="C143" s="6" t="s">
        <v>791</v>
      </c>
      <c r="D143" s="6" t="s">
        <v>396</v>
      </c>
      <c r="E143" s="6" t="s">
        <v>804</v>
      </c>
      <c r="F143" s="6" t="s">
        <v>394</v>
      </c>
      <c r="G143" s="6" t="s">
        <v>401</v>
      </c>
      <c r="H143" s="6" t="s">
        <v>793</v>
      </c>
      <c r="I143" s="9" t="s">
        <v>563</v>
      </c>
      <c r="J143" s="9"/>
      <c r="K143" s="9"/>
      <c r="L143" s="9"/>
      <c r="M143" s="11"/>
      <c r="N143" s="18"/>
      <c r="O143" s="18"/>
      <c r="P143" s="11" t="str">
        <f aca="false">IFERROR(INDEX(WBS!$O$6:$O$59,MATCH($F143,WBS!$A$6:$A$59,0)),"")</f>
        <v>データ所有者・バックアップ担当</v>
      </c>
    </row>
    <row r="144" customFormat="false" ht="39.75" hidden="false" customHeight="true" outlineLevel="0" collapsed="false">
      <c r="A144" s="6" t="n">
        <v>141</v>
      </c>
      <c r="B144" s="6" t="n">
        <v>136</v>
      </c>
      <c r="C144" s="6" t="s">
        <v>791</v>
      </c>
      <c r="D144" s="6" t="s">
        <v>396</v>
      </c>
      <c r="E144" s="6" t="s">
        <v>805</v>
      </c>
      <c r="F144" s="6" t="s">
        <v>394</v>
      </c>
      <c r="G144" s="6" t="s">
        <v>401</v>
      </c>
      <c r="H144" s="6" t="s">
        <v>793</v>
      </c>
      <c r="I144" s="9" t="s">
        <v>563</v>
      </c>
      <c r="J144" s="9"/>
      <c r="K144" s="9"/>
      <c r="L144" s="9"/>
      <c r="M144" s="11"/>
      <c r="N144" s="18"/>
      <c r="O144" s="18"/>
      <c r="P144" s="11" t="str">
        <f aca="false">IFERROR(INDEX(WBS!$O$6:$O$59,MATCH($F144,WBS!$A$6:$A$59,0)),"")</f>
        <v>データ所有者・バックアップ担当</v>
      </c>
    </row>
    <row r="145" customFormat="false" ht="78" hidden="false" customHeight="true" outlineLevel="0" collapsed="false">
      <c r="A145" s="6" t="n">
        <v>142</v>
      </c>
      <c r="B145" s="6" t="n">
        <v>3</v>
      </c>
      <c r="C145" s="6" t="s">
        <v>791</v>
      </c>
      <c r="D145" s="6" t="s">
        <v>806</v>
      </c>
      <c r="E145" s="6" t="s">
        <v>807</v>
      </c>
      <c r="F145" s="6" t="s">
        <v>448</v>
      </c>
      <c r="G145" s="6" t="s">
        <v>193</v>
      </c>
      <c r="H145" s="6" t="s">
        <v>803</v>
      </c>
      <c r="I145" s="9" t="s">
        <v>563</v>
      </c>
      <c r="J145" s="9"/>
      <c r="K145" s="9"/>
      <c r="L145" s="9"/>
      <c r="M145" s="11" t="s">
        <v>394</v>
      </c>
      <c r="N145" s="18"/>
      <c r="O145" s="18"/>
      <c r="P145" s="11" t="str">
        <f aca="false">IFERROR(INDEX(WBS!$O$6:$O$59,MATCH($F145,WBS!$A$6:$A$59,0)),"")</f>
        <v>端末管理者</v>
      </c>
    </row>
    <row r="146" customFormat="false" ht="49.5" hidden="false" customHeight="true" outlineLevel="0" collapsed="false">
      <c r="A146" s="6" t="n">
        <v>143</v>
      </c>
      <c r="B146" s="6" t="n">
        <v>2</v>
      </c>
      <c r="C146" s="6" t="s">
        <v>791</v>
      </c>
      <c r="D146" s="6" t="s">
        <v>808</v>
      </c>
      <c r="E146" s="6" t="s">
        <v>809</v>
      </c>
      <c r="F146" s="6" t="s">
        <v>407</v>
      </c>
      <c r="G146" s="6" t="s">
        <v>810</v>
      </c>
      <c r="H146" s="6" t="s">
        <v>811</v>
      </c>
      <c r="I146" s="9" t="s">
        <v>563</v>
      </c>
      <c r="J146" s="9"/>
      <c r="K146" s="9"/>
      <c r="L146" s="9"/>
      <c r="M146" s="11" t="s">
        <v>62</v>
      </c>
      <c r="N146" s="18"/>
      <c r="O146" s="18"/>
      <c r="P146" s="11" t="str">
        <f aca="false">IFERROR(INDEX(WBS!$O$6:$O$59,MATCH($F146,WBS!$A$6:$A$59,0)),"")</f>
        <v>バックアップ担当</v>
      </c>
    </row>
    <row r="147" customFormat="false" ht="39.75" hidden="false" customHeight="true" outlineLevel="0" collapsed="false">
      <c r="A147" s="6" t="n">
        <v>144</v>
      </c>
      <c r="B147" s="6" t="n">
        <v>11</v>
      </c>
      <c r="C147" s="6" t="s">
        <v>812</v>
      </c>
      <c r="D147" s="6" t="s">
        <v>459</v>
      </c>
      <c r="E147" s="6" t="s">
        <v>813</v>
      </c>
      <c r="F147" s="6" t="s">
        <v>477</v>
      </c>
      <c r="G147" s="6" t="s">
        <v>597</v>
      </c>
      <c r="H147" s="6" t="s">
        <v>725</v>
      </c>
      <c r="I147" s="9" t="s">
        <v>563</v>
      </c>
      <c r="J147" s="9"/>
      <c r="K147" s="9"/>
      <c r="L147" s="9"/>
      <c r="M147" s="11"/>
      <c r="N147" s="18"/>
      <c r="O147" s="18"/>
      <c r="P147" s="11" t="str">
        <f aca="false">IFERROR(INDEX(WBS!$O$6:$O$59,MATCH($F147,WBS!$A$6:$A$59,0)),"")</f>
        <v>各運用責任者・人事・法務</v>
      </c>
    </row>
    <row r="148" customFormat="false" ht="39.75" hidden="false" customHeight="true" outlineLevel="0" collapsed="false">
      <c r="A148" s="6" t="n">
        <v>145</v>
      </c>
      <c r="B148" s="6" t="n">
        <v>12</v>
      </c>
      <c r="C148" s="6" t="s">
        <v>812</v>
      </c>
      <c r="D148" s="6" t="s">
        <v>459</v>
      </c>
      <c r="E148" s="6" t="s">
        <v>814</v>
      </c>
      <c r="F148" s="6" t="s">
        <v>477</v>
      </c>
      <c r="G148" s="6" t="s">
        <v>597</v>
      </c>
      <c r="H148" s="6" t="s">
        <v>725</v>
      </c>
      <c r="I148" s="9" t="s">
        <v>563</v>
      </c>
      <c r="J148" s="9"/>
      <c r="K148" s="9"/>
      <c r="L148" s="9"/>
      <c r="M148" s="11"/>
      <c r="N148" s="18"/>
      <c r="O148" s="18"/>
      <c r="P148" s="11" t="str">
        <f aca="false">IFERROR(INDEX(WBS!$O$6:$O$59,MATCH($F148,WBS!$A$6:$A$59,0)),"")</f>
        <v>各運用責任者・人事・法務</v>
      </c>
    </row>
    <row r="149" customFormat="false" ht="39.75" hidden="false" customHeight="true" outlineLevel="0" collapsed="false">
      <c r="A149" s="6" t="n">
        <v>146</v>
      </c>
      <c r="B149" s="6" t="n">
        <v>14</v>
      </c>
      <c r="C149" s="6" t="s">
        <v>812</v>
      </c>
      <c r="D149" s="6" t="s">
        <v>459</v>
      </c>
      <c r="E149" s="6" t="s">
        <v>815</v>
      </c>
      <c r="F149" s="6" t="s">
        <v>477</v>
      </c>
      <c r="G149" s="6" t="s">
        <v>597</v>
      </c>
      <c r="H149" s="6" t="s">
        <v>725</v>
      </c>
      <c r="I149" s="9" t="s">
        <v>563</v>
      </c>
      <c r="J149" s="9"/>
      <c r="K149" s="9"/>
      <c r="L149" s="9"/>
      <c r="M149" s="11"/>
      <c r="N149" s="18"/>
      <c r="O149" s="18"/>
      <c r="P149" s="11" t="str">
        <f aca="false">IFERROR(INDEX(WBS!$O$6:$O$59,MATCH($F149,WBS!$A$6:$A$59,0)),"")</f>
        <v>各運用責任者・人事・法務</v>
      </c>
    </row>
    <row r="150" customFormat="false" ht="39.75" hidden="false" customHeight="true" outlineLevel="0" collapsed="false">
      <c r="A150" s="6" t="n">
        <v>147</v>
      </c>
      <c r="B150" s="6" t="n">
        <v>15</v>
      </c>
      <c r="C150" s="6" t="s">
        <v>812</v>
      </c>
      <c r="D150" s="6" t="s">
        <v>459</v>
      </c>
      <c r="E150" s="6" t="s">
        <v>816</v>
      </c>
      <c r="F150" s="6" t="s">
        <v>477</v>
      </c>
      <c r="G150" s="6" t="s">
        <v>597</v>
      </c>
      <c r="H150" s="6" t="s">
        <v>725</v>
      </c>
      <c r="I150" s="9" t="s">
        <v>563</v>
      </c>
      <c r="J150" s="9"/>
      <c r="K150" s="9"/>
      <c r="L150" s="9"/>
      <c r="M150" s="11"/>
      <c r="N150" s="18"/>
      <c r="O150" s="18"/>
      <c r="P150" s="11" t="str">
        <f aca="false">IFERROR(INDEX(WBS!$O$6:$O$59,MATCH($F150,WBS!$A$6:$A$59,0)),"")</f>
        <v>各運用責任者・人事・法務</v>
      </c>
    </row>
    <row r="151" customFormat="false" ht="39.75" hidden="false" customHeight="true" outlineLevel="0" collapsed="false">
      <c r="A151" s="6" t="n">
        <v>148</v>
      </c>
      <c r="B151" s="6" t="n">
        <v>16</v>
      </c>
      <c r="C151" s="6" t="s">
        <v>812</v>
      </c>
      <c r="D151" s="6" t="s">
        <v>459</v>
      </c>
      <c r="E151" s="6" t="s">
        <v>817</v>
      </c>
      <c r="F151" s="6" t="s">
        <v>477</v>
      </c>
      <c r="G151" s="6" t="s">
        <v>597</v>
      </c>
      <c r="H151" s="6" t="s">
        <v>725</v>
      </c>
      <c r="I151" s="9" t="s">
        <v>563</v>
      </c>
      <c r="J151" s="9"/>
      <c r="K151" s="9"/>
      <c r="L151" s="9"/>
      <c r="M151" s="11"/>
      <c r="N151" s="18"/>
      <c r="O151" s="18"/>
      <c r="P151" s="11" t="str">
        <f aca="false">IFERROR(INDEX(WBS!$O$6:$O$59,MATCH($F151,WBS!$A$6:$A$59,0)),"")</f>
        <v>各運用責任者・人事・法務</v>
      </c>
    </row>
    <row r="152" customFormat="false" ht="49.5" hidden="false" customHeight="true" outlineLevel="0" collapsed="false">
      <c r="A152" s="6" t="n">
        <v>149</v>
      </c>
      <c r="B152" s="6" t="n">
        <v>17</v>
      </c>
      <c r="C152" s="6" t="s">
        <v>812</v>
      </c>
      <c r="D152" s="6" t="s">
        <v>459</v>
      </c>
      <c r="E152" s="6" t="s">
        <v>818</v>
      </c>
      <c r="F152" s="6" t="s">
        <v>477</v>
      </c>
      <c r="G152" s="6" t="s">
        <v>597</v>
      </c>
      <c r="H152" s="6" t="s">
        <v>725</v>
      </c>
      <c r="I152" s="9" t="s">
        <v>563</v>
      </c>
      <c r="J152" s="9"/>
      <c r="K152" s="9"/>
      <c r="L152" s="9"/>
      <c r="M152" s="11"/>
      <c r="N152" s="18"/>
      <c r="O152" s="18"/>
      <c r="P152" s="11" t="str">
        <f aca="false">IFERROR(INDEX(WBS!$O$6:$O$59,MATCH($F152,WBS!$A$6:$A$59,0)),"")</f>
        <v>各運用責任者・人事・法務</v>
      </c>
    </row>
    <row r="153" customFormat="false" ht="49.5" hidden="false" customHeight="true" outlineLevel="0" collapsed="false">
      <c r="A153" s="6" t="n">
        <v>150</v>
      </c>
      <c r="B153" s="6" t="n">
        <v>18</v>
      </c>
      <c r="C153" s="6" t="s">
        <v>812</v>
      </c>
      <c r="D153" s="6" t="s">
        <v>459</v>
      </c>
      <c r="E153" s="6" t="s">
        <v>819</v>
      </c>
      <c r="F153" s="6" t="s">
        <v>477</v>
      </c>
      <c r="G153" s="6" t="s">
        <v>597</v>
      </c>
      <c r="H153" s="6" t="s">
        <v>725</v>
      </c>
      <c r="I153" s="9" t="s">
        <v>563</v>
      </c>
      <c r="J153" s="9"/>
      <c r="K153" s="9"/>
      <c r="L153" s="9"/>
      <c r="M153" s="11"/>
      <c r="N153" s="18"/>
      <c r="O153" s="18"/>
      <c r="P153" s="11" t="str">
        <f aca="false">IFERROR(INDEX(WBS!$O$6:$O$59,MATCH($F153,WBS!$A$6:$A$59,0)),"")</f>
        <v>各運用責任者・人事・法務</v>
      </c>
    </row>
    <row r="154" customFormat="false" ht="49.5" hidden="false" customHeight="true" outlineLevel="0" collapsed="false">
      <c r="A154" s="6" t="n">
        <v>151</v>
      </c>
      <c r="B154" s="6" t="n">
        <v>19</v>
      </c>
      <c r="C154" s="6" t="s">
        <v>812</v>
      </c>
      <c r="D154" s="6" t="s">
        <v>459</v>
      </c>
      <c r="E154" s="6" t="s">
        <v>820</v>
      </c>
      <c r="F154" s="6" t="s">
        <v>477</v>
      </c>
      <c r="G154" s="6" t="s">
        <v>597</v>
      </c>
      <c r="H154" s="6" t="s">
        <v>725</v>
      </c>
      <c r="I154" s="9" t="s">
        <v>563</v>
      </c>
      <c r="J154" s="9"/>
      <c r="K154" s="9"/>
      <c r="L154" s="9"/>
      <c r="M154" s="11"/>
      <c r="N154" s="18"/>
      <c r="O154" s="18"/>
      <c r="P154" s="11" t="str">
        <f aca="false">IFERROR(INDEX(WBS!$O$6:$O$59,MATCH($F154,WBS!$A$6:$A$59,0)),"")</f>
        <v>各運用責任者・人事・法務</v>
      </c>
    </row>
    <row r="155" customFormat="false" ht="39.75" hidden="false" customHeight="true" outlineLevel="0" collapsed="false">
      <c r="A155" s="6" t="n">
        <v>152</v>
      </c>
      <c r="B155" s="6" t="n">
        <v>20</v>
      </c>
      <c r="C155" s="6" t="s">
        <v>812</v>
      </c>
      <c r="D155" s="6" t="s">
        <v>459</v>
      </c>
      <c r="E155" s="6" t="s">
        <v>821</v>
      </c>
      <c r="F155" s="6" t="s">
        <v>477</v>
      </c>
      <c r="G155" s="6" t="s">
        <v>597</v>
      </c>
      <c r="H155" s="6" t="s">
        <v>725</v>
      </c>
      <c r="I155" s="9" t="s">
        <v>563</v>
      </c>
      <c r="J155" s="9"/>
      <c r="K155" s="9"/>
      <c r="L155" s="9"/>
      <c r="M155" s="11"/>
      <c r="N155" s="18"/>
      <c r="O155" s="18"/>
      <c r="P155" s="11" t="str">
        <f aca="false">IFERROR(INDEX(WBS!$O$6:$O$59,MATCH($F155,WBS!$A$6:$A$59,0)),"")</f>
        <v>各運用責任者・人事・法務</v>
      </c>
    </row>
    <row r="156" customFormat="false" ht="39.75" hidden="false" customHeight="true" outlineLevel="0" collapsed="false">
      <c r="A156" s="6" t="n">
        <v>153</v>
      </c>
      <c r="B156" s="6" t="n">
        <v>21</v>
      </c>
      <c r="C156" s="6" t="s">
        <v>812</v>
      </c>
      <c r="D156" s="6" t="s">
        <v>459</v>
      </c>
      <c r="E156" s="6" t="s">
        <v>822</v>
      </c>
      <c r="F156" s="6" t="s">
        <v>477</v>
      </c>
      <c r="G156" s="6" t="s">
        <v>597</v>
      </c>
      <c r="H156" s="6" t="s">
        <v>725</v>
      </c>
      <c r="I156" s="9" t="s">
        <v>563</v>
      </c>
      <c r="J156" s="9"/>
      <c r="K156" s="9"/>
      <c r="L156" s="9"/>
      <c r="M156" s="11"/>
      <c r="N156" s="18"/>
      <c r="O156" s="18"/>
      <c r="P156" s="11" t="str">
        <f aca="false">IFERROR(INDEX(WBS!$O$6:$O$59,MATCH($F156,WBS!$A$6:$A$59,0)),"")</f>
        <v>各運用責任者・人事・法務</v>
      </c>
    </row>
    <row r="157" customFormat="false" ht="39.75" hidden="false" customHeight="true" outlineLevel="0" collapsed="false">
      <c r="A157" s="6" t="n">
        <v>154</v>
      </c>
      <c r="B157" s="6" t="n">
        <v>175</v>
      </c>
      <c r="C157" s="6" t="s">
        <v>812</v>
      </c>
      <c r="D157" s="6" t="s">
        <v>823</v>
      </c>
      <c r="E157" s="6" t="s">
        <v>824</v>
      </c>
      <c r="F157" s="6" t="s">
        <v>477</v>
      </c>
      <c r="G157" s="6" t="s">
        <v>597</v>
      </c>
      <c r="H157" s="6" t="s">
        <v>725</v>
      </c>
      <c r="I157" s="9" t="s">
        <v>563</v>
      </c>
      <c r="J157" s="9"/>
      <c r="K157" s="9"/>
      <c r="L157" s="9"/>
      <c r="M157" s="11"/>
      <c r="N157" s="18"/>
      <c r="O157" s="18"/>
      <c r="P157" s="11" t="str">
        <f aca="false">IFERROR(INDEX(WBS!$O$6:$O$59,MATCH($F157,WBS!$A$6:$A$59,0)),"")</f>
        <v>各運用責任者・人事・法務</v>
      </c>
    </row>
    <row r="158" customFormat="false" ht="63.75" hidden="false" customHeight="true" outlineLevel="0" collapsed="false">
      <c r="A158" s="6" t="n">
        <v>155</v>
      </c>
      <c r="B158" s="6" t="n">
        <v>140</v>
      </c>
      <c r="C158" s="6" t="s">
        <v>825</v>
      </c>
      <c r="D158" s="6" t="s">
        <v>826</v>
      </c>
      <c r="E158" s="6" t="s">
        <v>827</v>
      </c>
      <c r="F158" s="6" t="s">
        <v>242</v>
      </c>
      <c r="G158" s="6" t="s">
        <v>731</v>
      </c>
      <c r="H158" s="6" t="s">
        <v>828</v>
      </c>
      <c r="I158" s="9" t="s">
        <v>563</v>
      </c>
      <c r="J158" s="9"/>
      <c r="K158" s="9"/>
      <c r="L158" s="9"/>
      <c r="M158" s="11"/>
      <c r="N158" s="18"/>
      <c r="O158" s="18"/>
      <c r="P158" s="11" t="str">
        <f aca="false">IFERROR(INDEX(WBS!$O$6:$O$59,MATCH($F158,WBS!$A$6:$A$59,0)),"")</f>
        <v>Workspace管理者</v>
      </c>
    </row>
    <row r="159" customFormat="false" ht="39.75" hidden="false" customHeight="true" outlineLevel="0" collapsed="false">
      <c r="A159" s="6" t="n">
        <v>156</v>
      </c>
      <c r="B159" s="6" t="n">
        <v>200</v>
      </c>
      <c r="C159" s="6" t="s">
        <v>825</v>
      </c>
      <c r="D159" s="6" t="s">
        <v>829</v>
      </c>
      <c r="E159" s="6" t="s">
        <v>830</v>
      </c>
      <c r="F159" s="6" t="s">
        <v>458</v>
      </c>
      <c r="G159" s="6" t="s">
        <v>831</v>
      </c>
      <c r="H159" s="6" t="s">
        <v>832</v>
      </c>
      <c r="I159" s="9" t="s">
        <v>563</v>
      </c>
      <c r="J159" s="9"/>
      <c r="K159" s="9"/>
      <c r="L159" s="9"/>
      <c r="M159" s="11"/>
      <c r="N159" s="18"/>
      <c r="O159" s="18"/>
      <c r="P159" s="11" t="str">
        <f aca="false">IFERROR(INDEX(WBS!$O$6:$O$59,MATCH($F159,WBS!$A$6:$A$59,0)),"")</f>
        <v>SOC・セキュリティ・業務担当</v>
      </c>
    </row>
    <row r="160" customFormat="false" ht="49.5" hidden="false" customHeight="true" outlineLevel="0" collapsed="false">
      <c r="A160" s="6" t="n">
        <v>157</v>
      </c>
      <c r="B160" s="6" t="n">
        <v>148</v>
      </c>
      <c r="C160" s="6" t="s">
        <v>825</v>
      </c>
      <c r="D160" s="6" t="s">
        <v>621</v>
      </c>
      <c r="E160" s="6" t="s">
        <v>833</v>
      </c>
      <c r="F160" s="6" t="s">
        <v>317</v>
      </c>
      <c r="G160" s="6" t="s">
        <v>571</v>
      </c>
      <c r="H160" s="6" t="s">
        <v>615</v>
      </c>
      <c r="I160" s="9" t="s">
        <v>563</v>
      </c>
      <c r="J160" s="9"/>
      <c r="K160" s="9"/>
      <c r="L160" s="9"/>
      <c r="M160" s="11"/>
      <c r="N160" s="18"/>
      <c r="O160" s="18"/>
      <c r="P160" s="11" t="str">
        <f aca="false">IFERROR(INDEX(WBS!$O$6:$O$59,MATCH($F160,WBS!$A$6:$A$59,0)),"")</f>
        <v>AD／Windows管理者</v>
      </c>
    </row>
    <row r="161" customFormat="false" ht="49.5" hidden="false" customHeight="true" outlineLevel="0" collapsed="false">
      <c r="A161" s="6" t="n">
        <v>158</v>
      </c>
      <c r="B161" s="6" t="n">
        <v>149</v>
      </c>
      <c r="C161" s="6" t="s">
        <v>825</v>
      </c>
      <c r="D161" s="6" t="s">
        <v>621</v>
      </c>
      <c r="E161" s="6" t="s">
        <v>834</v>
      </c>
      <c r="F161" s="6" t="s">
        <v>317</v>
      </c>
      <c r="G161" s="6" t="s">
        <v>571</v>
      </c>
      <c r="H161" s="6" t="s">
        <v>615</v>
      </c>
      <c r="I161" s="9" t="s">
        <v>563</v>
      </c>
      <c r="J161" s="9"/>
      <c r="K161" s="9"/>
      <c r="L161" s="9"/>
      <c r="M161" s="11"/>
      <c r="N161" s="18"/>
      <c r="O161" s="18"/>
      <c r="P161" s="11" t="str">
        <f aca="false">IFERROR(INDEX(WBS!$O$6:$O$59,MATCH($F161,WBS!$A$6:$A$59,0)),"")</f>
        <v>AD／Windows管理者</v>
      </c>
    </row>
    <row r="162" customFormat="false" ht="49.5" hidden="false" customHeight="true" outlineLevel="0" collapsed="false">
      <c r="A162" s="6" t="n">
        <v>159</v>
      </c>
      <c r="B162" s="6" t="n">
        <v>150</v>
      </c>
      <c r="C162" s="6" t="s">
        <v>825</v>
      </c>
      <c r="D162" s="6" t="s">
        <v>621</v>
      </c>
      <c r="E162" s="6" t="s">
        <v>835</v>
      </c>
      <c r="F162" s="6" t="s">
        <v>317</v>
      </c>
      <c r="G162" s="6" t="s">
        <v>571</v>
      </c>
      <c r="H162" s="6" t="s">
        <v>615</v>
      </c>
      <c r="I162" s="9" t="s">
        <v>563</v>
      </c>
      <c r="J162" s="9"/>
      <c r="K162" s="9"/>
      <c r="L162" s="9"/>
      <c r="M162" s="11"/>
      <c r="N162" s="18"/>
      <c r="O162" s="18"/>
      <c r="P162" s="11" t="str">
        <f aca="false">IFERROR(INDEX(WBS!$O$6:$O$59,MATCH($F162,WBS!$A$6:$A$59,0)),"")</f>
        <v>AD／Windows管理者</v>
      </c>
    </row>
    <row r="163" customFormat="false" ht="49.5" hidden="false" customHeight="true" outlineLevel="0" collapsed="false">
      <c r="A163" s="6" t="n">
        <v>160</v>
      </c>
      <c r="B163" s="6" t="n">
        <v>151</v>
      </c>
      <c r="C163" s="6" t="s">
        <v>825</v>
      </c>
      <c r="D163" s="6" t="s">
        <v>621</v>
      </c>
      <c r="E163" s="6" t="s">
        <v>836</v>
      </c>
      <c r="F163" s="6" t="s">
        <v>317</v>
      </c>
      <c r="G163" s="6" t="s">
        <v>571</v>
      </c>
      <c r="H163" s="6" t="s">
        <v>615</v>
      </c>
      <c r="I163" s="9" t="s">
        <v>563</v>
      </c>
      <c r="J163" s="9"/>
      <c r="K163" s="9"/>
      <c r="L163" s="9"/>
      <c r="M163" s="11"/>
      <c r="N163" s="18"/>
      <c r="O163" s="18"/>
      <c r="P163" s="11" t="str">
        <f aca="false">IFERROR(INDEX(WBS!$O$6:$O$59,MATCH($F163,WBS!$A$6:$A$59,0)),"")</f>
        <v>AD／Windows管理者</v>
      </c>
    </row>
    <row r="164" customFormat="false" ht="78" hidden="false" customHeight="true" outlineLevel="0" collapsed="false">
      <c r="A164" s="6" t="n">
        <v>161</v>
      </c>
      <c r="B164" s="6" t="n">
        <v>141</v>
      </c>
      <c r="C164" s="6" t="s">
        <v>825</v>
      </c>
      <c r="D164" s="6" t="s">
        <v>837</v>
      </c>
      <c r="E164" s="6" t="s">
        <v>838</v>
      </c>
      <c r="F164" s="6" t="s">
        <v>335</v>
      </c>
      <c r="G164" s="6" t="s">
        <v>571</v>
      </c>
      <c r="H164" s="6" t="s">
        <v>686</v>
      </c>
      <c r="I164" s="9" t="s">
        <v>563</v>
      </c>
      <c r="J164" s="9"/>
      <c r="K164" s="9"/>
      <c r="L164" s="9"/>
      <c r="M164" s="11" t="s">
        <v>687</v>
      </c>
      <c r="N164" s="18"/>
      <c r="O164" s="18"/>
      <c r="P164" s="11" t="str">
        <f aca="false">IFERROR(INDEX(WBS!$O$6:$O$59,MATCH($F164,WBS!$A$6:$A$59,0)),"")</f>
        <v>VDI・リモートアクセス基盤担当</v>
      </c>
    </row>
    <row r="165" customFormat="false" ht="78" hidden="false" customHeight="true" outlineLevel="0" collapsed="false">
      <c r="A165" s="6" t="n">
        <v>162</v>
      </c>
      <c r="B165" s="6" t="n">
        <v>110</v>
      </c>
      <c r="C165" s="6" t="s">
        <v>825</v>
      </c>
      <c r="D165" s="6" t="s">
        <v>718</v>
      </c>
      <c r="E165" s="6" t="s">
        <v>839</v>
      </c>
      <c r="F165" s="6" t="s">
        <v>341</v>
      </c>
      <c r="G165" s="6" t="s">
        <v>571</v>
      </c>
      <c r="H165" s="6" t="s">
        <v>753</v>
      </c>
      <c r="I165" s="9" t="s">
        <v>563</v>
      </c>
      <c r="J165" s="9"/>
      <c r="K165" s="9"/>
      <c r="L165" s="9"/>
      <c r="M165" s="11"/>
      <c r="N165" s="18"/>
      <c r="O165" s="18"/>
      <c r="P165" s="11" t="str">
        <f aca="false">IFERROR(INDEX(WBS!$O$6:$O$59,MATCH($F165,WBS!$A$6:$A$59,0)),"")</f>
        <v>仮想化基盤・セキュリティ運用担当</v>
      </c>
    </row>
    <row r="166" customFormat="false" ht="49.5" hidden="false" customHeight="true" outlineLevel="0" collapsed="false">
      <c r="A166" s="6" t="n">
        <v>163</v>
      </c>
      <c r="B166" s="6" t="n">
        <v>190</v>
      </c>
      <c r="C166" s="6" t="s">
        <v>825</v>
      </c>
      <c r="D166" s="6" t="s">
        <v>840</v>
      </c>
      <c r="E166" s="6" t="s">
        <v>841</v>
      </c>
      <c r="F166" s="6" t="s">
        <v>458</v>
      </c>
      <c r="G166" s="6" t="s">
        <v>831</v>
      </c>
      <c r="H166" s="6" t="s">
        <v>832</v>
      </c>
      <c r="I166" s="9" t="s">
        <v>563</v>
      </c>
      <c r="J166" s="9"/>
      <c r="K166" s="9"/>
      <c r="L166" s="9"/>
      <c r="M166" s="11"/>
      <c r="N166" s="18"/>
      <c r="O166" s="18"/>
      <c r="P166" s="11" t="str">
        <f aca="false">IFERROR(INDEX(WBS!$O$6:$O$59,MATCH($F166,WBS!$A$6:$A$59,0)),"")</f>
        <v>SOC・セキュリティ・業務担当</v>
      </c>
    </row>
    <row r="167" customFormat="false" ht="63.75" hidden="false" customHeight="true" outlineLevel="0" collapsed="false">
      <c r="A167" s="6" t="n">
        <v>164</v>
      </c>
      <c r="B167" s="6" t="n">
        <v>191</v>
      </c>
      <c r="C167" s="6" t="s">
        <v>825</v>
      </c>
      <c r="D167" s="6" t="s">
        <v>840</v>
      </c>
      <c r="E167" s="6" t="s">
        <v>842</v>
      </c>
      <c r="F167" s="6" t="s">
        <v>458</v>
      </c>
      <c r="G167" s="6" t="s">
        <v>831</v>
      </c>
      <c r="H167" s="6" t="s">
        <v>832</v>
      </c>
      <c r="I167" s="9" t="s">
        <v>563</v>
      </c>
      <c r="J167" s="9"/>
      <c r="K167" s="9"/>
      <c r="L167" s="9"/>
      <c r="M167" s="11"/>
      <c r="N167" s="18"/>
      <c r="O167" s="18"/>
      <c r="P167" s="11" t="str">
        <f aca="false">IFERROR(INDEX(WBS!$O$6:$O$59,MATCH($F167,WBS!$A$6:$A$59,0)),"")</f>
        <v>SOC・セキュリティ・業務担当</v>
      </c>
    </row>
    <row r="168" customFormat="false" ht="63.75" hidden="false" customHeight="true" outlineLevel="0" collapsed="false">
      <c r="A168" s="6" t="n">
        <v>165</v>
      </c>
      <c r="B168" s="6" t="n">
        <v>212</v>
      </c>
      <c r="C168" s="6" t="s">
        <v>825</v>
      </c>
      <c r="D168" s="6" t="s">
        <v>840</v>
      </c>
      <c r="E168" s="6" t="s">
        <v>843</v>
      </c>
      <c r="F168" s="6" t="s">
        <v>458</v>
      </c>
      <c r="G168" s="6" t="s">
        <v>831</v>
      </c>
      <c r="H168" s="6" t="s">
        <v>844</v>
      </c>
      <c r="I168" s="9" t="s">
        <v>563</v>
      </c>
      <c r="J168" s="9"/>
      <c r="K168" s="9"/>
      <c r="L168" s="9"/>
      <c r="M168" s="11" t="s">
        <v>468</v>
      </c>
      <c r="N168" s="18"/>
      <c r="O168" s="18"/>
      <c r="P168" s="11" t="str">
        <f aca="false">IFERROR(INDEX(WBS!$O$6:$O$59,MATCH($F168,WBS!$A$6:$A$59,0)),"")</f>
        <v>SOC・セキュリティ・業務担当</v>
      </c>
    </row>
    <row r="169" customFormat="false" ht="63.75" hidden="false" customHeight="true" outlineLevel="0" collapsed="false">
      <c r="A169" s="6" t="n">
        <v>166</v>
      </c>
      <c r="B169" s="6" t="n">
        <v>213</v>
      </c>
      <c r="C169" s="6" t="s">
        <v>825</v>
      </c>
      <c r="D169" s="6" t="s">
        <v>840</v>
      </c>
      <c r="E169" s="6" t="s">
        <v>845</v>
      </c>
      <c r="F169" s="6" t="s">
        <v>458</v>
      </c>
      <c r="G169" s="6" t="s">
        <v>831</v>
      </c>
      <c r="H169" s="6" t="s">
        <v>844</v>
      </c>
      <c r="I169" s="9" t="s">
        <v>563</v>
      </c>
      <c r="J169" s="9"/>
      <c r="K169" s="9"/>
      <c r="L169" s="9"/>
      <c r="M169" s="11" t="s">
        <v>468</v>
      </c>
      <c r="N169" s="18"/>
      <c r="O169" s="18"/>
      <c r="P169" s="11" t="str">
        <f aca="false">IFERROR(INDEX(WBS!$O$6:$O$59,MATCH($F169,WBS!$A$6:$A$59,0)),"")</f>
        <v>SOC・セキュリティ・業務担当</v>
      </c>
    </row>
    <row r="170" customFormat="false" ht="49.5" hidden="false" customHeight="true" outlineLevel="0" collapsed="false">
      <c r="A170" s="6" t="n">
        <v>167</v>
      </c>
      <c r="B170" s="6" t="n">
        <v>137</v>
      </c>
      <c r="C170" s="6" t="s">
        <v>825</v>
      </c>
      <c r="D170" s="6" t="s">
        <v>846</v>
      </c>
      <c r="E170" s="6" t="s">
        <v>847</v>
      </c>
      <c r="F170" s="6" t="s">
        <v>429</v>
      </c>
      <c r="G170" s="6" t="s">
        <v>193</v>
      </c>
      <c r="H170" s="6" t="s">
        <v>848</v>
      </c>
      <c r="I170" s="9" t="s">
        <v>563</v>
      </c>
      <c r="J170" s="9"/>
      <c r="K170" s="9"/>
      <c r="L170" s="9"/>
      <c r="M170" s="11" t="s">
        <v>419</v>
      </c>
      <c r="N170" s="18"/>
      <c r="O170" s="18"/>
      <c r="P170" s="11" t="str">
        <f aca="false">IFERROR(INDEX(WBS!$O$6:$O$59,MATCH($F170,WBS!$A$6:$A$59,0)),"")</f>
        <v>SOC・セキュリティ担当</v>
      </c>
    </row>
    <row r="171" customFormat="false" ht="78" hidden="false" customHeight="true" outlineLevel="0" collapsed="false">
      <c r="A171" s="6" t="n">
        <v>168</v>
      </c>
      <c r="B171" s="6" t="n">
        <v>169</v>
      </c>
      <c r="C171" s="6" t="s">
        <v>825</v>
      </c>
      <c r="D171" s="6" t="s">
        <v>846</v>
      </c>
      <c r="E171" s="6" t="s">
        <v>849</v>
      </c>
      <c r="F171" s="6" t="s">
        <v>429</v>
      </c>
      <c r="G171" s="6" t="s">
        <v>193</v>
      </c>
      <c r="H171" s="6" t="s">
        <v>848</v>
      </c>
      <c r="I171" s="9" t="s">
        <v>563</v>
      </c>
      <c r="J171" s="9"/>
      <c r="K171" s="9"/>
      <c r="L171" s="9"/>
      <c r="M171" s="11" t="s">
        <v>419</v>
      </c>
      <c r="N171" s="18"/>
      <c r="O171" s="18"/>
      <c r="P171" s="11" t="str">
        <f aca="false">IFERROR(INDEX(WBS!$O$6:$O$59,MATCH($F171,WBS!$A$6:$A$59,0)),"")</f>
        <v>SOC・セキュリティ担当</v>
      </c>
    </row>
    <row r="172" customFormat="false" ht="49.5" hidden="false" customHeight="true" outlineLevel="0" collapsed="false">
      <c r="A172" s="6" t="n">
        <v>169</v>
      </c>
      <c r="B172" s="6" t="n">
        <v>170</v>
      </c>
      <c r="C172" s="6" t="s">
        <v>825</v>
      </c>
      <c r="D172" s="6" t="s">
        <v>846</v>
      </c>
      <c r="E172" s="6" t="s">
        <v>850</v>
      </c>
      <c r="F172" s="6" t="s">
        <v>429</v>
      </c>
      <c r="G172" s="6" t="s">
        <v>193</v>
      </c>
      <c r="H172" s="6" t="s">
        <v>851</v>
      </c>
      <c r="I172" s="9" t="s">
        <v>563</v>
      </c>
      <c r="J172" s="9"/>
      <c r="K172" s="9"/>
      <c r="L172" s="9"/>
      <c r="M172" s="11" t="s">
        <v>419</v>
      </c>
      <c r="N172" s="18"/>
      <c r="O172" s="18"/>
      <c r="P172" s="11" t="str">
        <f aca="false">IFERROR(INDEX(WBS!$O$6:$O$59,MATCH($F172,WBS!$A$6:$A$59,0)),"")</f>
        <v>SOC・セキュリティ担当</v>
      </c>
    </row>
    <row r="173" customFormat="false" ht="91.5" hidden="false" customHeight="true" outlineLevel="0" collapsed="false">
      <c r="A173" s="6" t="n">
        <v>170</v>
      </c>
      <c r="B173" s="6" t="n">
        <v>171</v>
      </c>
      <c r="C173" s="6" t="s">
        <v>825</v>
      </c>
      <c r="D173" s="6" t="s">
        <v>846</v>
      </c>
      <c r="E173" s="6" t="s">
        <v>852</v>
      </c>
      <c r="F173" s="6" t="s">
        <v>429</v>
      </c>
      <c r="G173" s="6" t="s">
        <v>193</v>
      </c>
      <c r="H173" s="6" t="s">
        <v>848</v>
      </c>
      <c r="I173" s="9" t="s">
        <v>563</v>
      </c>
      <c r="J173" s="9"/>
      <c r="K173" s="9"/>
      <c r="L173" s="9"/>
      <c r="M173" s="11" t="s">
        <v>419</v>
      </c>
      <c r="N173" s="18"/>
      <c r="O173" s="18"/>
      <c r="P173" s="11" t="str">
        <f aca="false">IFERROR(INDEX(WBS!$O$6:$O$59,MATCH($F173,WBS!$A$6:$A$59,0)),"")</f>
        <v>SOC・セキュリティ担当</v>
      </c>
    </row>
    <row r="174" customFormat="false" ht="39.75" hidden="false" customHeight="true" outlineLevel="0" collapsed="false">
      <c r="A174" s="6" t="n">
        <v>171</v>
      </c>
      <c r="B174" s="6" t="n">
        <v>226</v>
      </c>
      <c r="C174" s="6" t="s">
        <v>825</v>
      </c>
      <c r="D174" s="6" t="s">
        <v>853</v>
      </c>
      <c r="E174" s="6" t="s">
        <v>854</v>
      </c>
      <c r="F174" s="6" t="s">
        <v>458</v>
      </c>
      <c r="G174" s="6" t="s">
        <v>831</v>
      </c>
      <c r="H174" s="6" t="s">
        <v>832</v>
      </c>
      <c r="I174" s="9" t="s">
        <v>563</v>
      </c>
      <c r="J174" s="9"/>
      <c r="K174" s="9"/>
      <c r="L174" s="9"/>
      <c r="M174" s="11"/>
      <c r="N174" s="18"/>
      <c r="O174" s="18"/>
      <c r="P174" s="11" t="str">
        <f aca="false">IFERROR(INDEX(WBS!$O$6:$O$59,MATCH($F174,WBS!$A$6:$A$59,0)),"")</f>
        <v>SOC・セキュリティ・業務担当</v>
      </c>
    </row>
    <row r="175" customFormat="false" ht="63.75" hidden="false" customHeight="true" outlineLevel="0" collapsed="false">
      <c r="A175" s="6" t="n">
        <v>172</v>
      </c>
      <c r="B175" s="6" t="n">
        <v>192</v>
      </c>
      <c r="C175" s="6" t="s">
        <v>825</v>
      </c>
      <c r="D175" s="6" t="s">
        <v>855</v>
      </c>
      <c r="E175" s="6" t="s">
        <v>856</v>
      </c>
      <c r="F175" s="6" t="s">
        <v>458</v>
      </c>
      <c r="G175" s="6" t="s">
        <v>831</v>
      </c>
      <c r="H175" s="6" t="s">
        <v>832</v>
      </c>
      <c r="I175" s="9" t="s">
        <v>563</v>
      </c>
      <c r="J175" s="9"/>
      <c r="K175" s="9"/>
      <c r="L175" s="9"/>
      <c r="M175" s="11"/>
      <c r="N175" s="18"/>
      <c r="O175" s="18"/>
      <c r="P175" s="11" t="str">
        <f aca="false">IFERROR(INDEX(WBS!$O$6:$O$59,MATCH($F175,WBS!$A$6:$A$59,0)),"")</f>
        <v>SOC・セキュリティ・業務担当</v>
      </c>
    </row>
    <row r="176" customFormat="false" ht="39.75" hidden="false" customHeight="true" outlineLevel="0" collapsed="false">
      <c r="A176" s="6" t="n">
        <v>173</v>
      </c>
      <c r="B176" s="6" t="n">
        <v>96</v>
      </c>
      <c r="C176" s="6" t="s">
        <v>857</v>
      </c>
      <c r="D176" s="6" t="s">
        <v>858</v>
      </c>
      <c r="E176" s="6" t="s">
        <v>859</v>
      </c>
      <c r="F176" s="6" t="s">
        <v>307</v>
      </c>
      <c r="G176" s="6" t="s">
        <v>193</v>
      </c>
      <c r="H176" s="6" t="s">
        <v>710</v>
      </c>
      <c r="I176" s="9" t="s">
        <v>563</v>
      </c>
      <c r="J176" s="9"/>
      <c r="K176" s="9"/>
      <c r="L176" s="9"/>
      <c r="M176" s="11"/>
      <c r="N176" s="18"/>
      <c r="O176" s="18"/>
      <c r="P176" s="11" t="str">
        <f aca="false">IFERROR(INDEX(WBS!$O$6:$O$59,MATCH($F176,WBS!$A$6:$A$59,0)),"")</f>
        <v>ネットワーク担当</v>
      </c>
    </row>
    <row r="177" customFormat="false" ht="49.5" hidden="false" customHeight="true" outlineLevel="0" collapsed="false">
      <c r="A177" s="6" t="n">
        <v>174</v>
      </c>
      <c r="B177" s="6" t="n">
        <v>24</v>
      </c>
      <c r="C177" s="6" t="s">
        <v>857</v>
      </c>
      <c r="D177" s="6" t="s">
        <v>860</v>
      </c>
      <c r="E177" s="6" t="s">
        <v>861</v>
      </c>
      <c r="F177" s="6" t="s">
        <v>335</v>
      </c>
      <c r="G177" s="6" t="s">
        <v>571</v>
      </c>
      <c r="H177" s="6" t="s">
        <v>632</v>
      </c>
      <c r="I177" s="9" t="s">
        <v>563</v>
      </c>
      <c r="J177" s="9"/>
      <c r="K177" s="9"/>
      <c r="L177" s="9"/>
      <c r="M177" s="11"/>
      <c r="N177" s="18"/>
      <c r="O177" s="18"/>
      <c r="P177" s="11" t="str">
        <f aca="false">IFERROR(INDEX(WBS!$O$6:$O$59,MATCH($F177,WBS!$A$6:$A$59,0)),"")</f>
        <v>VDI・リモートアクセス基盤担当</v>
      </c>
    </row>
    <row r="178" customFormat="false" ht="49.5" hidden="false" customHeight="true" outlineLevel="0" collapsed="false">
      <c r="A178" s="6" t="n">
        <v>175</v>
      </c>
      <c r="B178" s="6" t="n">
        <v>25</v>
      </c>
      <c r="C178" s="6" t="s">
        <v>857</v>
      </c>
      <c r="D178" s="6" t="s">
        <v>860</v>
      </c>
      <c r="E178" s="6" t="s">
        <v>862</v>
      </c>
      <c r="F178" s="6" t="s">
        <v>335</v>
      </c>
      <c r="G178" s="6" t="s">
        <v>571</v>
      </c>
      <c r="H178" s="6" t="s">
        <v>632</v>
      </c>
      <c r="I178" s="9" t="s">
        <v>563</v>
      </c>
      <c r="J178" s="9"/>
      <c r="K178" s="9"/>
      <c r="L178" s="9"/>
      <c r="M178" s="11"/>
      <c r="N178" s="18"/>
      <c r="O178" s="18"/>
      <c r="P178" s="11" t="str">
        <f aca="false">IFERROR(INDEX(WBS!$O$6:$O$59,MATCH($F178,WBS!$A$6:$A$59,0)),"")</f>
        <v>VDI・リモートアクセス基盤担当</v>
      </c>
    </row>
    <row r="179" customFormat="false" ht="39.75" hidden="false" customHeight="true" outlineLevel="0" collapsed="false">
      <c r="A179" s="6" t="n">
        <v>176</v>
      </c>
      <c r="B179" s="6" t="n">
        <v>26</v>
      </c>
      <c r="C179" s="6" t="s">
        <v>857</v>
      </c>
      <c r="D179" s="6" t="s">
        <v>863</v>
      </c>
      <c r="E179" s="6" t="s">
        <v>864</v>
      </c>
      <c r="F179" s="6" t="s">
        <v>225</v>
      </c>
      <c r="G179" s="6" t="s">
        <v>193</v>
      </c>
      <c r="H179" s="6" t="s">
        <v>778</v>
      </c>
      <c r="I179" s="9" t="s">
        <v>563</v>
      </c>
      <c r="J179" s="9"/>
      <c r="K179" s="9"/>
      <c r="L179" s="9"/>
      <c r="M179" s="11"/>
      <c r="N179" s="18"/>
      <c r="O179" s="18"/>
      <c r="P179" s="11" t="str">
        <f aca="false">IFERROR(INDEX(WBS!$O$6:$O$59,MATCH($F179,WBS!$A$6:$A$59,0)),"")</f>
        <v>Workspace管理者</v>
      </c>
    </row>
    <row r="180" customFormat="false" ht="39.75" hidden="false" customHeight="true" outlineLevel="0" collapsed="false">
      <c r="A180" s="6" t="n">
        <v>177</v>
      </c>
      <c r="B180" s="6" t="n">
        <v>27</v>
      </c>
      <c r="C180" s="6" t="s">
        <v>857</v>
      </c>
      <c r="D180" s="6" t="s">
        <v>863</v>
      </c>
      <c r="E180" s="6" t="s">
        <v>865</v>
      </c>
      <c r="F180" s="6" t="s">
        <v>307</v>
      </c>
      <c r="G180" s="6" t="s">
        <v>193</v>
      </c>
      <c r="H180" s="6" t="s">
        <v>710</v>
      </c>
      <c r="I180" s="9" t="s">
        <v>563</v>
      </c>
      <c r="J180" s="9"/>
      <c r="K180" s="9"/>
      <c r="L180" s="9"/>
      <c r="M180" s="11"/>
      <c r="N180" s="18"/>
      <c r="O180" s="18"/>
      <c r="P180" s="11" t="str">
        <f aca="false">IFERROR(INDEX(WBS!$O$6:$O$59,MATCH($F180,WBS!$A$6:$A$59,0)),"")</f>
        <v>ネットワーク担当</v>
      </c>
    </row>
    <row r="181" customFormat="false" ht="49.5" hidden="false" customHeight="true" outlineLevel="0" collapsed="false">
      <c r="A181" s="6" t="n">
        <v>178</v>
      </c>
      <c r="B181" s="6" t="n">
        <v>38</v>
      </c>
      <c r="C181" s="6" t="s">
        <v>857</v>
      </c>
      <c r="D181" s="6" t="s">
        <v>863</v>
      </c>
      <c r="E181" s="6" t="s">
        <v>866</v>
      </c>
      <c r="F181" s="6" t="s">
        <v>335</v>
      </c>
      <c r="G181" s="6" t="s">
        <v>571</v>
      </c>
      <c r="H181" s="6" t="s">
        <v>632</v>
      </c>
      <c r="I181" s="9" t="s">
        <v>563</v>
      </c>
      <c r="J181" s="9"/>
      <c r="K181" s="9"/>
      <c r="L181" s="9"/>
      <c r="M181" s="11"/>
      <c r="N181" s="18"/>
      <c r="O181" s="18"/>
      <c r="P181" s="11" t="str">
        <f aca="false">IFERROR(INDEX(WBS!$O$6:$O$59,MATCH($F181,WBS!$A$6:$A$59,0)),"")</f>
        <v>VDI・リモートアクセス基盤担当</v>
      </c>
    </row>
    <row r="182" customFormat="false" ht="49.5" hidden="false" customHeight="true" outlineLevel="0" collapsed="false">
      <c r="A182" s="6" t="n">
        <v>179</v>
      </c>
      <c r="B182" s="6" t="n">
        <v>160</v>
      </c>
      <c r="C182" s="6" t="s">
        <v>867</v>
      </c>
      <c r="D182" s="6" t="s">
        <v>569</v>
      </c>
      <c r="E182" s="6" t="s">
        <v>868</v>
      </c>
      <c r="F182" s="6" t="s">
        <v>317</v>
      </c>
      <c r="G182" s="6" t="s">
        <v>571</v>
      </c>
      <c r="H182" s="6" t="s">
        <v>572</v>
      </c>
      <c r="I182" s="9" t="s">
        <v>563</v>
      </c>
      <c r="J182" s="9"/>
      <c r="K182" s="9"/>
      <c r="L182" s="9"/>
      <c r="M182" s="11"/>
      <c r="N182" s="18"/>
      <c r="O182" s="18"/>
      <c r="P182" s="11" t="str">
        <f aca="false">IFERROR(INDEX(WBS!$O$6:$O$59,MATCH($F182,WBS!$A$6:$A$59,0)),"")</f>
        <v>AD／Windows管理者</v>
      </c>
    </row>
    <row r="183" customFormat="false" ht="49.5" hidden="false" customHeight="true" outlineLevel="0" collapsed="false">
      <c r="A183" s="6" t="n">
        <v>180</v>
      </c>
      <c r="B183" s="6" t="n">
        <v>161</v>
      </c>
      <c r="C183" s="6" t="s">
        <v>867</v>
      </c>
      <c r="D183" s="6" t="s">
        <v>569</v>
      </c>
      <c r="E183" s="6" t="s">
        <v>869</v>
      </c>
      <c r="F183" s="6" t="s">
        <v>317</v>
      </c>
      <c r="G183" s="6" t="s">
        <v>571</v>
      </c>
      <c r="H183" s="6" t="s">
        <v>572</v>
      </c>
      <c r="I183" s="9" t="s">
        <v>563</v>
      </c>
      <c r="J183" s="9"/>
      <c r="K183" s="9"/>
      <c r="L183" s="9"/>
      <c r="M183" s="11"/>
      <c r="N183" s="18"/>
      <c r="O183" s="18"/>
      <c r="P183" s="11" t="str">
        <f aca="false">IFERROR(INDEX(WBS!$O$6:$O$59,MATCH($F183,WBS!$A$6:$A$59,0)),"")</f>
        <v>AD／Windows管理者</v>
      </c>
    </row>
    <row r="184" customFormat="false" ht="78" hidden="false" customHeight="true" outlineLevel="0" collapsed="false">
      <c r="A184" s="6" t="n">
        <v>181</v>
      </c>
      <c r="B184" s="6" t="n">
        <v>142</v>
      </c>
      <c r="C184" s="6" t="s">
        <v>870</v>
      </c>
      <c r="D184" s="6" t="s">
        <v>837</v>
      </c>
      <c r="E184" s="6" t="s">
        <v>871</v>
      </c>
      <c r="F184" s="6" t="s">
        <v>335</v>
      </c>
      <c r="G184" s="6" t="s">
        <v>571</v>
      </c>
      <c r="H184" s="6" t="s">
        <v>686</v>
      </c>
      <c r="I184" s="9" t="s">
        <v>563</v>
      </c>
      <c r="J184" s="9"/>
      <c r="K184" s="9"/>
      <c r="L184" s="9"/>
      <c r="M184" s="11" t="s">
        <v>687</v>
      </c>
      <c r="N184" s="18"/>
      <c r="O184" s="18"/>
      <c r="P184" s="11" t="str">
        <f aca="false">IFERROR(INDEX(WBS!$O$6:$O$59,MATCH($F184,WBS!$A$6:$A$59,0)),"")</f>
        <v>VDI・リモートアクセス基盤担当</v>
      </c>
    </row>
    <row r="185" customFormat="false" ht="63.75" hidden="false" customHeight="true" outlineLevel="0" collapsed="false">
      <c r="A185" s="6" t="n">
        <v>182</v>
      </c>
      <c r="B185" s="6" t="n">
        <v>178</v>
      </c>
      <c r="C185" s="6" t="s">
        <v>870</v>
      </c>
      <c r="D185" s="6" t="s">
        <v>757</v>
      </c>
      <c r="E185" s="6" t="s">
        <v>872</v>
      </c>
      <c r="F185" s="6" t="s">
        <v>289</v>
      </c>
      <c r="G185" s="6" t="s">
        <v>773</v>
      </c>
      <c r="H185" s="6" t="s">
        <v>873</v>
      </c>
      <c r="I185" s="9" t="s">
        <v>563</v>
      </c>
      <c r="J185" s="9"/>
      <c r="K185" s="9"/>
      <c r="L185" s="9"/>
      <c r="M185" s="11"/>
      <c r="N185" s="18"/>
      <c r="O185" s="18"/>
      <c r="P185" s="11" t="str">
        <f aca="false">IFERROR(INDEX(WBS!$O$6:$O$59,MATCH($F185,WBS!$A$6:$A$59,0)),"")</f>
        <v>セキュリティ担当</v>
      </c>
    </row>
    <row r="186" customFormat="false" ht="39.75" hidden="false" customHeight="true" outlineLevel="0" collapsed="false">
      <c r="A186" s="6" t="n">
        <v>183</v>
      </c>
      <c r="B186" s="6" t="n">
        <v>174</v>
      </c>
      <c r="C186" s="6" t="s">
        <v>870</v>
      </c>
      <c r="D186" s="6" t="s">
        <v>846</v>
      </c>
      <c r="E186" s="6" t="s">
        <v>874</v>
      </c>
      <c r="F186" s="6" t="s">
        <v>277</v>
      </c>
      <c r="G186" s="6" t="s">
        <v>720</v>
      </c>
      <c r="H186" s="6" t="s">
        <v>721</v>
      </c>
      <c r="I186" s="9" t="s">
        <v>563</v>
      </c>
      <c r="J186" s="9"/>
      <c r="K186" s="9"/>
      <c r="L186" s="9"/>
      <c r="M186" s="11"/>
      <c r="N186" s="18"/>
      <c r="O186" s="18"/>
      <c r="P186" s="11" t="str">
        <f aca="false">IFERROR(INDEX(WBS!$O$6:$O$59,MATCH($F186,WBS!$A$6:$A$59,0)),"")</f>
        <v>セキュリティ担当・SOC</v>
      </c>
    </row>
    <row r="187" customFormat="false" ht="49.5" hidden="false" customHeight="true" outlineLevel="0" collapsed="false">
      <c r="A187" s="6" t="n">
        <v>184</v>
      </c>
      <c r="B187" s="6" t="n">
        <v>108</v>
      </c>
      <c r="C187" s="6" t="s">
        <v>870</v>
      </c>
      <c r="D187" s="6" t="s">
        <v>875</v>
      </c>
      <c r="E187" s="6" t="s">
        <v>876</v>
      </c>
      <c r="F187" s="6" t="s">
        <v>277</v>
      </c>
      <c r="G187" s="6" t="s">
        <v>720</v>
      </c>
      <c r="H187" s="6" t="s">
        <v>721</v>
      </c>
      <c r="I187" s="9" t="s">
        <v>563</v>
      </c>
      <c r="J187" s="9"/>
      <c r="K187" s="9"/>
      <c r="L187" s="9"/>
      <c r="M187" s="11"/>
      <c r="N187" s="18"/>
      <c r="O187" s="18"/>
      <c r="P187" s="11" t="str">
        <f aca="false">IFERROR(INDEX(WBS!$O$6:$O$59,MATCH($F187,WBS!$A$6:$A$59,0)),"")</f>
        <v>セキュリティ担当・SOC</v>
      </c>
    </row>
    <row r="188" customFormat="false" ht="49.5" hidden="false" customHeight="true" outlineLevel="0" collapsed="false">
      <c r="A188" s="6" t="n">
        <v>185</v>
      </c>
      <c r="B188" s="6" t="n">
        <v>109</v>
      </c>
      <c r="C188" s="6" t="s">
        <v>870</v>
      </c>
      <c r="D188" s="6" t="s">
        <v>875</v>
      </c>
      <c r="E188" s="6" t="s">
        <v>877</v>
      </c>
      <c r="F188" s="6" t="s">
        <v>277</v>
      </c>
      <c r="G188" s="6" t="s">
        <v>720</v>
      </c>
      <c r="H188" s="6" t="s">
        <v>721</v>
      </c>
      <c r="I188" s="9" t="s">
        <v>563</v>
      </c>
      <c r="J188" s="9"/>
      <c r="K188" s="9"/>
      <c r="L188" s="9"/>
      <c r="M188" s="11"/>
      <c r="N188" s="18"/>
      <c r="O188" s="18"/>
      <c r="P188" s="11" t="str">
        <f aca="false">IFERROR(INDEX(WBS!$O$6:$O$59,MATCH($F188,WBS!$A$6:$A$59,0)),"")</f>
        <v>セキュリティ担当・SOC</v>
      </c>
    </row>
    <row r="189" customFormat="false" ht="39.75" hidden="false" customHeight="true" outlineLevel="0" collapsed="false">
      <c r="A189" s="6" t="n">
        <v>186</v>
      </c>
      <c r="B189" s="6" t="n">
        <v>172</v>
      </c>
      <c r="C189" s="6" t="s">
        <v>870</v>
      </c>
      <c r="D189" s="6" t="s">
        <v>878</v>
      </c>
      <c r="E189" s="6" t="s">
        <v>879</v>
      </c>
      <c r="F189" s="6" t="s">
        <v>277</v>
      </c>
      <c r="G189" s="6" t="s">
        <v>720</v>
      </c>
      <c r="H189" s="6" t="s">
        <v>721</v>
      </c>
      <c r="I189" s="9" t="s">
        <v>563</v>
      </c>
      <c r="J189" s="9"/>
      <c r="K189" s="9"/>
      <c r="L189" s="9"/>
      <c r="M189" s="11"/>
      <c r="N189" s="18"/>
      <c r="O189" s="18"/>
      <c r="P189" s="11" t="str">
        <f aca="false">IFERROR(INDEX(WBS!$O$6:$O$59,MATCH($F189,WBS!$A$6:$A$59,0)),"")</f>
        <v>セキュリティ担当・SOC</v>
      </c>
    </row>
    <row r="190" customFormat="false" ht="39.75" hidden="false" customHeight="true" outlineLevel="0" collapsed="false">
      <c r="A190" s="6" t="n">
        <v>187</v>
      </c>
      <c r="B190" s="6" t="n">
        <v>173</v>
      </c>
      <c r="C190" s="6" t="s">
        <v>870</v>
      </c>
      <c r="D190" s="6" t="s">
        <v>878</v>
      </c>
      <c r="E190" s="6" t="s">
        <v>880</v>
      </c>
      <c r="F190" s="6" t="s">
        <v>277</v>
      </c>
      <c r="G190" s="6" t="s">
        <v>720</v>
      </c>
      <c r="H190" s="6" t="s">
        <v>721</v>
      </c>
      <c r="I190" s="9" t="s">
        <v>563</v>
      </c>
      <c r="J190" s="9"/>
      <c r="K190" s="9"/>
      <c r="L190" s="9"/>
      <c r="M190" s="11"/>
      <c r="N190" s="18"/>
      <c r="O190" s="18"/>
      <c r="P190" s="11" t="str">
        <f aca="false">IFERROR(INDEX(WBS!$O$6:$O$59,MATCH($F190,WBS!$A$6:$A$59,0)),"")</f>
        <v>セキュリティ担当・SOC</v>
      </c>
    </row>
    <row r="191" customFormat="false" ht="39.75" hidden="false" customHeight="true" outlineLevel="0" collapsed="false">
      <c r="A191" s="6" t="n">
        <v>188</v>
      </c>
      <c r="B191" s="6" t="n">
        <v>13</v>
      </c>
      <c r="C191" s="6" t="s">
        <v>881</v>
      </c>
      <c r="D191" s="6" t="s">
        <v>882</v>
      </c>
      <c r="E191" s="6" t="s">
        <v>883</v>
      </c>
      <c r="F191" s="6" t="s">
        <v>477</v>
      </c>
      <c r="G191" s="6" t="s">
        <v>597</v>
      </c>
      <c r="H191" s="6" t="s">
        <v>725</v>
      </c>
      <c r="I191" s="9" t="s">
        <v>563</v>
      </c>
      <c r="J191" s="9"/>
      <c r="K191" s="9"/>
      <c r="L191" s="9"/>
      <c r="M191" s="11"/>
      <c r="N191" s="18"/>
      <c r="O191" s="18"/>
      <c r="P191" s="11" t="str">
        <f aca="false">IFERROR(INDEX(WBS!$O$6:$O$59,MATCH($F191,WBS!$A$6:$A$59,0)),"")</f>
        <v>各運用責任者・人事・法務</v>
      </c>
    </row>
    <row r="192" customFormat="false" ht="39.75" hidden="false" customHeight="true" outlineLevel="0" collapsed="false">
      <c r="A192" s="6" t="n">
        <v>189</v>
      </c>
      <c r="B192" s="6" t="n">
        <v>230</v>
      </c>
      <c r="C192" s="6" t="s">
        <v>881</v>
      </c>
      <c r="D192" s="6" t="s">
        <v>884</v>
      </c>
      <c r="E192" s="6" t="s">
        <v>885</v>
      </c>
      <c r="F192" s="6" t="s">
        <v>477</v>
      </c>
      <c r="G192" s="6" t="s">
        <v>597</v>
      </c>
      <c r="H192" s="6" t="s">
        <v>725</v>
      </c>
      <c r="I192" s="9" t="s">
        <v>563</v>
      </c>
      <c r="J192" s="9"/>
      <c r="K192" s="9"/>
      <c r="L192" s="9"/>
      <c r="M192" s="11"/>
      <c r="N192" s="18"/>
      <c r="O192" s="18"/>
      <c r="P192" s="11" t="str">
        <f aca="false">IFERROR(INDEX(WBS!$O$6:$O$59,MATCH($F192,WBS!$A$6:$A$59,0)),"")</f>
        <v>各運用責任者・人事・法務</v>
      </c>
    </row>
    <row r="193" customFormat="false" ht="39.75" hidden="false" customHeight="true" outlineLevel="0" collapsed="false">
      <c r="A193" s="6" t="n">
        <v>190</v>
      </c>
      <c r="B193" s="6" t="n">
        <v>231</v>
      </c>
      <c r="C193" s="6" t="s">
        <v>881</v>
      </c>
      <c r="D193" s="6" t="s">
        <v>886</v>
      </c>
      <c r="E193" s="6" t="s">
        <v>887</v>
      </c>
      <c r="F193" s="6" t="s">
        <v>477</v>
      </c>
      <c r="G193" s="6" t="s">
        <v>597</v>
      </c>
      <c r="H193" s="6" t="s">
        <v>725</v>
      </c>
      <c r="I193" s="9" t="s">
        <v>563</v>
      </c>
      <c r="J193" s="9"/>
      <c r="K193" s="9"/>
      <c r="L193" s="9"/>
      <c r="M193" s="11"/>
      <c r="N193" s="18"/>
      <c r="O193" s="18"/>
      <c r="P193" s="11" t="str">
        <f aca="false">IFERROR(INDEX(WBS!$O$6:$O$59,MATCH($F193,WBS!$A$6:$A$59,0)),"")</f>
        <v>各運用責任者・人事・法務</v>
      </c>
    </row>
    <row r="194" customFormat="false" ht="49.5" hidden="false" customHeight="true" outlineLevel="0" collapsed="false">
      <c r="A194" s="6" t="n">
        <v>191</v>
      </c>
      <c r="B194" s="6" t="n">
        <v>196</v>
      </c>
      <c r="C194" s="6" t="s">
        <v>888</v>
      </c>
      <c r="D194" s="6" t="s">
        <v>613</v>
      </c>
      <c r="E194" s="6" t="s">
        <v>889</v>
      </c>
      <c r="F194" s="6" t="s">
        <v>317</v>
      </c>
      <c r="G194" s="6" t="s">
        <v>571</v>
      </c>
      <c r="H194" s="6" t="s">
        <v>615</v>
      </c>
      <c r="I194" s="9" t="s">
        <v>563</v>
      </c>
      <c r="J194" s="9"/>
      <c r="K194" s="9"/>
      <c r="L194" s="9"/>
      <c r="M194" s="11"/>
      <c r="N194" s="18"/>
      <c r="O194" s="18"/>
      <c r="P194" s="11" t="str">
        <f aca="false">IFERROR(INDEX(WBS!$O$6:$O$59,MATCH($F194,WBS!$A$6:$A$59,0)),"")</f>
        <v>AD／Windows管理者</v>
      </c>
    </row>
    <row r="195" customFormat="false" ht="49.5" hidden="false" customHeight="true" outlineLevel="0" collapsed="false">
      <c r="A195" s="6" t="n">
        <v>192</v>
      </c>
      <c r="B195" s="6" t="n">
        <v>202</v>
      </c>
      <c r="C195" s="6" t="s">
        <v>888</v>
      </c>
      <c r="D195" s="6" t="s">
        <v>621</v>
      </c>
      <c r="E195" s="6" t="s">
        <v>890</v>
      </c>
      <c r="F195" s="6" t="s">
        <v>317</v>
      </c>
      <c r="G195" s="6" t="s">
        <v>571</v>
      </c>
      <c r="H195" s="6" t="s">
        <v>615</v>
      </c>
      <c r="I195" s="9" t="s">
        <v>563</v>
      </c>
      <c r="J195" s="9"/>
      <c r="K195" s="9"/>
      <c r="L195" s="9"/>
      <c r="M195" s="11"/>
      <c r="N195" s="18"/>
      <c r="O195" s="18"/>
      <c r="P195" s="11" t="str">
        <f aca="false">IFERROR(INDEX(WBS!$O$6:$O$59,MATCH($F195,WBS!$A$6:$A$59,0)),"")</f>
        <v>AD／Windows管理者</v>
      </c>
    </row>
    <row r="196" customFormat="false" ht="49.5" hidden="false" customHeight="true" outlineLevel="0" collapsed="false">
      <c r="A196" s="6" t="n">
        <v>193</v>
      </c>
      <c r="B196" s="6" t="n">
        <v>223</v>
      </c>
      <c r="C196" s="6" t="s">
        <v>888</v>
      </c>
      <c r="D196" s="6" t="s">
        <v>684</v>
      </c>
      <c r="E196" s="6" t="s">
        <v>891</v>
      </c>
      <c r="F196" s="6" t="s">
        <v>335</v>
      </c>
      <c r="G196" s="6" t="s">
        <v>571</v>
      </c>
      <c r="H196" s="6" t="s">
        <v>632</v>
      </c>
      <c r="I196" s="9" t="s">
        <v>563</v>
      </c>
      <c r="J196" s="9"/>
      <c r="K196" s="9"/>
      <c r="L196" s="9"/>
      <c r="M196" s="11"/>
      <c r="N196" s="18"/>
      <c r="O196" s="18"/>
      <c r="P196" s="11" t="str">
        <f aca="false">IFERROR(INDEX(WBS!$O$6:$O$59,MATCH($F196,WBS!$A$6:$A$59,0)),"")</f>
        <v>VDI・リモートアクセス基盤担当</v>
      </c>
    </row>
    <row r="197" customFormat="false" ht="63.75" hidden="false" customHeight="true" outlineLevel="0" collapsed="false">
      <c r="A197" s="6" t="n">
        <v>194</v>
      </c>
      <c r="B197" s="6" t="n">
        <v>201</v>
      </c>
      <c r="C197" s="6" t="s">
        <v>888</v>
      </c>
      <c r="D197" s="6" t="s">
        <v>837</v>
      </c>
      <c r="E197" s="6" t="s">
        <v>892</v>
      </c>
      <c r="F197" s="6" t="s">
        <v>458</v>
      </c>
      <c r="G197" s="6" t="s">
        <v>831</v>
      </c>
      <c r="H197" s="6" t="s">
        <v>893</v>
      </c>
      <c r="I197" s="9" t="s">
        <v>563</v>
      </c>
      <c r="J197" s="9"/>
      <c r="K197" s="9"/>
      <c r="L197" s="9"/>
      <c r="M197" s="11" t="s">
        <v>687</v>
      </c>
      <c r="N197" s="18"/>
      <c r="O197" s="18"/>
      <c r="P197" s="11" t="str">
        <f aca="false">IFERROR(INDEX(WBS!$O$6:$O$59,MATCH($F197,WBS!$A$6:$A$59,0)),"")</f>
        <v>SOC・セキュリティ・業務担当</v>
      </c>
    </row>
    <row r="198" customFormat="false" ht="63.75" hidden="false" customHeight="true" outlineLevel="0" collapsed="false">
      <c r="A198" s="6" t="n">
        <v>195</v>
      </c>
      <c r="B198" s="6" t="n">
        <v>180</v>
      </c>
      <c r="C198" s="6" t="s">
        <v>888</v>
      </c>
      <c r="D198" s="6" t="s">
        <v>459</v>
      </c>
      <c r="E198" s="6" t="s">
        <v>894</v>
      </c>
      <c r="F198" s="6" t="s">
        <v>458</v>
      </c>
      <c r="G198" s="6" t="s">
        <v>831</v>
      </c>
      <c r="H198" s="6" t="s">
        <v>844</v>
      </c>
      <c r="I198" s="9" t="s">
        <v>563</v>
      </c>
      <c r="J198" s="9"/>
      <c r="K198" s="9"/>
      <c r="L198" s="9"/>
      <c r="M198" s="11" t="s">
        <v>468</v>
      </c>
      <c r="N198" s="18"/>
      <c r="O198" s="18"/>
      <c r="P198" s="11" t="str">
        <f aca="false">IFERROR(INDEX(WBS!$O$6:$O$59,MATCH($F198,WBS!$A$6:$A$59,0)),"")</f>
        <v>SOC・セキュリティ・業務担当</v>
      </c>
    </row>
    <row r="199" customFormat="false" ht="49.5" hidden="false" customHeight="true" outlineLevel="0" collapsed="false">
      <c r="A199" s="6" t="n">
        <v>196</v>
      </c>
      <c r="B199" s="6" t="n">
        <v>215</v>
      </c>
      <c r="C199" s="6" t="s">
        <v>888</v>
      </c>
      <c r="D199" s="6" t="s">
        <v>459</v>
      </c>
      <c r="E199" s="6" t="s">
        <v>895</v>
      </c>
      <c r="F199" s="6" t="s">
        <v>458</v>
      </c>
      <c r="G199" s="6" t="s">
        <v>831</v>
      </c>
      <c r="H199" s="6" t="s">
        <v>832</v>
      </c>
      <c r="I199" s="9" t="s">
        <v>563</v>
      </c>
      <c r="J199" s="9"/>
      <c r="K199" s="9"/>
      <c r="L199" s="9"/>
      <c r="M199" s="11"/>
      <c r="N199" s="18"/>
      <c r="O199" s="18"/>
      <c r="P199" s="11" t="str">
        <f aca="false">IFERROR(INDEX(WBS!$O$6:$O$59,MATCH($F199,WBS!$A$6:$A$59,0)),"")</f>
        <v>SOC・セキュリティ・業務担当</v>
      </c>
    </row>
    <row r="200" customFormat="false" ht="39.75" hidden="false" customHeight="true" outlineLevel="0" collapsed="false">
      <c r="A200" s="6" t="n">
        <v>197</v>
      </c>
      <c r="B200" s="6" t="n">
        <v>195</v>
      </c>
      <c r="C200" s="6" t="s">
        <v>888</v>
      </c>
      <c r="D200" s="6" t="s">
        <v>896</v>
      </c>
      <c r="E200" s="6" t="s">
        <v>897</v>
      </c>
      <c r="F200" s="6" t="s">
        <v>458</v>
      </c>
      <c r="G200" s="6" t="s">
        <v>831</v>
      </c>
      <c r="H200" s="6" t="s">
        <v>832</v>
      </c>
      <c r="I200" s="9" t="s">
        <v>563</v>
      </c>
      <c r="J200" s="9"/>
      <c r="K200" s="9"/>
      <c r="L200" s="9"/>
      <c r="M200" s="11"/>
      <c r="N200" s="18"/>
      <c r="O200" s="18"/>
      <c r="P200" s="11" t="str">
        <f aca="false">IFERROR(INDEX(WBS!$O$6:$O$59,MATCH($F200,WBS!$A$6:$A$59,0)),"")</f>
        <v>SOC・セキュリティ・業務担当</v>
      </c>
    </row>
    <row r="201" customFormat="false" ht="39.75" hidden="false" customHeight="true" outlineLevel="0" collapsed="false">
      <c r="A201" s="6" t="n">
        <v>198</v>
      </c>
      <c r="B201" s="6" t="n">
        <v>198</v>
      </c>
      <c r="C201" s="6" t="s">
        <v>888</v>
      </c>
      <c r="D201" s="6" t="s">
        <v>898</v>
      </c>
      <c r="E201" s="6" t="s">
        <v>899</v>
      </c>
      <c r="F201" s="6" t="s">
        <v>458</v>
      </c>
      <c r="G201" s="6" t="s">
        <v>831</v>
      </c>
      <c r="H201" s="6" t="s">
        <v>832</v>
      </c>
      <c r="I201" s="9" t="s">
        <v>563</v>
      </c>
      <c r="J201" s="9"/>
      <c r="K201" s="9"/>
      <c r="L201" s="9"/>
      <c r="M201" s="11"/>
      <c r="N201" s="18"/>
      <c r="O201" s="18"/>
      <c r="P201" s="11" t="str">
        <f aca="false">IFERROR(INDEX(WBS!$O$6:$O$59,MATCH($F201,WBS!$A$6:$A$59,0)),"")</f>
        <v>SOC・セキュリティ・業務担当</v>
      </c>
    </row>
    <row r="202" customFormat="false" ht="39.75" hidden="false" customHeight="true" outlineLevel="0" collapsed="false">
      <c r="A202" s="6" t="n">
        <v>199</v>
      </c>
      <c r="B202" s="6" t="n">
        <v>207</v>
      </c>
      <c r="C202" s="6" t="s">
        <v>888</v>
      </c>
      <c r="D202" s="6" t="s">
        <v>651</v>
      </c>
      <c r="E202" s="6" t="s">
        <v>900</v>
      </c>
      <c r="F202" s="6" t="s">
        <v>429</v>
      </c>
      <c r="G202" s="6" t="s">
        <v>193</v>
      </c>
      <c r="H202" s="6" t="s">
        <v>901</v>
      </c>
      <c r="I202" s="9" t="s">
        <v>563</v>
      </c>
      <c r="J202" s="9"/>
      <c r="K202" s="9"/>
      <c r="L202" s="9"/>
      <c r="M202" s="11"/>
      <c r="N202" s="18"/>
      <c r="O202" s="18"/>
      <c r="P202" s="11" t="str">
        <f aca="false">IFERROR(INDEX(WBS!$O$6:$O$59,MATCH($F202,WBS!$A$6:$A$59,0)),"")</f>
        <v>SOC・セキュリティ担当</v>
      </c>
    </row>
    <row r="203" customFormat="false" ht="39.75" hidden="false" customHeight="true" outlineLevel="0" collapsed="false">
      <c r="A203" s="6" t="n">
        <v>200</v>
      </c>
      <c r="B203" s="6" t="n">
        <v>208</v>
      </c>
      <c r="C203" s="6" t="s">
        <v>888</v>
      </c>
      <c r="D203" s="6" t="s">
        <v>651</v>
      </c>
      <c r="E203" s="6" t="s">
        <v>902</v>
      </c>
      <c r="F203" s="6" t="s">
        <v>429</v>
      </c>
      <c r="G203" s="6" t="s">
        <v>193</v>
      </c>
      <c r="H203" s="6" t="s">
        <v>901</v>
      </c>
      <c r="I203" s="9" t="s">
        <v>563</v>
      </c>
      <c r="J203" s="9"/>
      <c r="K203" s="9"/>
      <c r="L203" s="9"/>
      <c r="M203" s="11"/>
      <c r="N203" s="18"/>
      <c r="O203" s="18"/>
      <c r="P203" s="11" t="str">
        <f aca="false">IFERROR(INDEX(WBS!$O$6:$O$59,MATCH($F203,WBS!$A$6:$A$59,0)),"")</f>
        <v>SOC・セキュリティ担当</v>
      </c>
    </row>
    <row r="204" customFormat="false" ht="39.75" hidden="false" customHeight="true" outlineLevel="0" collapsed="false">
      <c r="A204" s="6" t="n">
        <v>201</v>
      </c>
      <c r="B204" s="6" t="n">
        <v>220</v>
      </c>
      <c r="C204" s="6" t="s">
        <v>888</v>
      </c>
      <c r="D204" s="6" t="s">
        <v>903</v>
      </c>
      <c r="E204" s="6" t="s">
        <v>904</v>
      </c>
      <c r="F204" s="6" t="s">
        <v>458</v>
      </c>
      <c r="G204" s="6" t="s">
        <v>831</v>
      </c>
      <c r="H204" s="6" t="s">
        <v>832</v>
      </c>
      <c r="I204" s="9" t="s">
        <v>563</v>
      </c>
      <c r="J204" s="9"/>
      <c r="K204" s="9"/>
      <c r="L204" s="9"/>
      <c r="M204" s="11"/>
      <c r="N204" s="18"/>
      <c r="O204" s="18"/>
      <c r="P204" s="11" t="str">
        <f aca="false">IFERROR(INDEX(WBS!$O$6:$O$59,MATCH($F204,WBS!$A$6:$A$59,0)),"")</f>
        <v>SOC・セキュリティ・業務担当</v>
      </c>
    </row>
    <row r="205" customFormat="false" ht="39.75" hidden="false" customHeight="true" outlineLevel="0" collapsed="false">
      <c r="A205" s="6" t="n">
        <v>202</v>
      </c>
      <c r="B205" s="6" t="n">
        <v>227</v>
      </c>
      <c r="C205" s="6" t="s">
        <v>888</v>
      </c>
      <c r="D205" s="6" t="s">
        <v>905</v>
      </c>
      <c r="E205" s="6" t="s">
        <v>906</v>
      </c>
      <c r="F205" s="6" t="s">
        <v>407</v>
      </c>
      <c r="G205" s="6" t="s">
        <v>810</v>
      </c>
      <c r="H205" s="6" t="s">
        <v>907</v>
      </c>
      <c r="I205" s="9" t="s">
        <v>563</v>
      </c>
      <c r="J205" s="9"/>
      <c r="K205" s="9"/>
      <c r="L205" s="9"/>
      <c r="M205" s="11"/>
      <c r="N205" s="18"/>
      <c r="O205" s="18"/>
      <c r="P205" s="11" t="str">
        <f aca="false">IFERROR(INDEX(WBS!$O$6:$O$59,MATCH($F205,WBS!$A$6:$A$59,0)),"")</f>
        <v>バックアップ担当</v>
      </c>
    </row>
    <row r="206" customFormat="false" ht="39.75" hidden="false" customHeight="true" outlineLevel="0" collapsed="false">
      <c r="A206" s="6" t="n">
        <v>203</v>
      </c>
      <c r="B206" s="6" t="n">
        <v>209</v>
      </c>
      <c r="C206" s="6" t="s">
        <v>888</v>
      </c>
      <c r="D206" s="6" t="s">
        <v>908</v>
      </c>
      <c r="E206" s="6" t="s">
        <v>909</v>
      </c>
      <c r="F206" s="6" t="s">
        <v>458</v>
      </c>
      <c r="G206" s="6" t="s">
        <v>831</v>
      </c>
      <c r="H206" s="6" t="s">
        <v>832</v>
      </c>
      <c r="I206" s="9" t="s">
        <v>563</v>
      </c>
      <c r="J206" s="9"/>
      <c r="K206" s="9"/>
      <c r="L206" s="9"/>
      <c r="M206" s="11"/>
      <c r="N206" s="18"/>
      <c r="O206" s="18"/>
      <c r="P206" s="11" t="str">
        <f aca="false">IFERROR(INDEX(WBS!$O$6:$O$59,MATCH($F206,WBS!$A$6:$A$59,0)),"")</f>
        <v>SOC・セキュリティ・業務担当</v>
      </c>
    </row>
    <row r="207" customFormat="false" ht="49.5" hidden="false" customHeight="true" outlineLevel="0" collapsed="false">
      <c r="A207" s="6" t="n">
        <v>204</v>
      </c>
      <c r="B207" s="6" t="n">
        <v>221</v>
      </c>
      <c r="C207" s="6" t="s">
        <v>888</v>
      </c>
      <c r="D207" s="6" t="s">
        <v>910</v>
      </c>
      <c r="E207" s="6" t="s">
        <v>911</v>
      </c>
      <c r="F207" s="6" t="s">
        <v>458</v>
      </c>
      <c r="G207" s="6" t="s">
        <v>831</v>
      </c>
      <c r="H207" s="6" t="s">
        <v>832</v>
      </c>
      <c r="I207" s="9" t="s">
        <v>563</v>
      </c>
      <c r="J207" s="9"/>
      <c r="K207" s="9"/>
      <c r="L207" s="9"/>
      <c r="M207" s="11"/>
      <c r="N207" s="18"/>
      <c r="O207" s="18"/>
      <c r="P207" s="11" t="str">
        <f aca="false">IFERROR(INDEX(WBS!$O$6:$O$59,MATCH($F207,WBS!$A$6:$A$59,0)),"")</f>
        <v>SOC・セキュリティ・業務担当</v>
      </c>
    </row>
    <row r="208" customFormat="false" ht="49.5" hidden="false" customHeight="true" outlineLevel="0" collapsed="false">
      <c r="A208" s="6" t="n">
        <v>205</v>
      </c>
      <c r="B208" s="6" t="n">
        <v>199</v>
      </c>
      <c r="C208" s="6" t="s">
        <v>888</v>
      </c>
      <c r="D208" s="6" t="s">
        <v>912</v>
      </c>
      <c r="E208" s="6" t="s">
        <v>913</v>
      </c>
      <c r="F208" s="6" t="s">
        <v>341</v>
      </c>
      <c r="G208" s="6" t="s">
        <v>571</v>
      </c>
      <c r="H208" s="6" t="s">
        <v>753</v>
      </c>
      <c r="I208" s="9" t="s">
        <v>563</v>
      </c>
      <c r="J208" s="9"/>
      <c r="K208" s="9"/>
      <c r="L208" s="9"/>
      <c r="M208" s="11"/>
      <c r="N208" s="18"/>
      <c r="O208" s="18"/>
      <c r="P208" s="11" t="str">
        <f aca="false">IFERROR(INDEX(WBS!$O$6:$O$59,MATCH($F208,WBS!$A$6:$A$59,0)),"")</f>
        <v>仮想化基盤・セキュリティ運用担当</v>
      </c>
    </row>
    <row r="209" customFormat="false" ht="39.75" hidden="false" customHeight="true" outlineLevel="0" collapsed="false">
      <c r="A209" s="6" t="n">
        <v>206</v>
      </c>
      <c r="B209" s="6" t="n">
        <v>229</v>
      </c>
      <c r="C209" s="6" t="s">
        <v>888</v>
      </c>
      <c r="D209" s="6" t="s">
        <v>914</v>
      </c>
      <c r="E209" s="6" t="s">
        <v>915</v>
      </c>
      <c r="F209" s="6" t="s">
        <v>407</v>
      </c>
      <c r="G209" s="6" t="s">
        <v>810</v>
      </c>
      <c r="H209" s="6" t="s">
        <v>907</v>
      </c>
      <c r="I209" s="9" t="s">
        <v>563</v>
      </c>
      <c r="J209" s="9"/>
      <c r="K209" s="9"/>
      <c r="L209" s="9"/>
      <c r="M209" s="11"/>
      <c r="N209" s="18"/>
      <c r="O209" s="18"/>
      <c r="P209" s="11" t="str">
        <f aca="false">IFERROR(INDEX(WBS!$O$6:$O$59,MATCH($F209,WBS!$A$6:$A$59,0)),"")</f>
        <v>バックアップ担当</v>
      </c>
    </row>
    <row r="210" customFormat="false" ht="39.75" hidden="false" customHeight="true" outlineLevel="0" collapsed="false">
      <c r="A210" s="6" t="n">
        <v>207</v>
      </c>
      <c r="B210" s="6" t="n">
        <v>205</v>
      </c>
      <c r="C210" s="6" t="s">
        <v>888</v>
      </c>
      <c r="D210" s="6" t="s">
        <v>914</v>
      </c>
      <c r="E210" s="6" t="s">
        <v>916</v>
      </c>
      <c r="F210" s="6" t="s">
        <v>458</v>
      </c>
      <c r="G210" s="6" t="s">
        <v>831</v>
      </c>
      <c r="H210" s="6" t="s">
        <v>832</v>
      </c>
      <c r="I210" s="9" t="s">
        <v>563</v>
      </c>
      <c r="J210" s="9"/>
      <c r="K210" s="9"/>
      <c r="L210" s="9"/>
      <c r="M210" s="11"/>
      <c r="N210" s="18"/>
      <c r="O210" s="18"/>
      <c r="P210" s="11" t="str">
        <f aca="false">IFERROR(INDEX(WBS!$O$6:$O$59,MATCH($F210,WBS!$A$6:$A$59,0)),"")</f>
        <v>SOC・セキュリティ・業務担当</v>
      </c>
    </row>
    <row r="211" customFormat="false" ht="39.75" hidden="false" customHeight="true" outlineLevel="0" collapsed="false">
      <c r="A211" s="6" t="n">
        <v>208</v>
      </c>
      <c r="B211" s="6" t="n">
        <v>211</v>
      </c>
      <c r="C211" s="6" t="s">
        <v>888</v>
      </c>
      <c r="D211" s="6" t="s">
        <v>914</v>
      </c>
      <c r="E211" s="6" t="s">
        <v>917</v>
      </c>
      <c r="F211" s="6" t="s">
        <v>477</v>
      </c>
      <c r="G211" s="6" t="s">
        <v>597</v>
      </c>
      <c r="H211" s="6" t="s">
        <v>725</v>
      </c>
      <c r="I211" s="9" t="s">
        <v>563</v>
      </c>
      <c r="J211" s="9"/>
      <c r="K211" s="9"/>
      <c r="L211" s="9"/>
      <c r="M211" s="11"/>
      <c r="N211" s="18"/>
      <c r="O211" s="18"/>
      <c r="P211" s="11" t="str">
        <f aca="false">IFERROR(INDEX(WBS!$O$6:$O$59,MATCH($F211,WBS!$A$6:$A$59,0)),"")</f>
        <v>各運用責任者・人事・法務</v>
      </c>
    </row>
    <row r="212" customFormat="false" ht="39.75" hidden="false" customHeight="true" outlineLevel="0" collapsed="false">
      <c r="A212" s="6" t="n">
        <v>209</v>
      </c>
      <c r="B212" s="6" t="n">
        <v>214</v>
      </c>
      <c r="C212" s="6" t="s">
        <v>888</v>
      </c>
      <c r="D212" s="6" t="s">
        <v>918</v>
      </c>
      <c r="E212" s="6" t="s">
        <v>919</v>
      </c>
      <c r="F212" s="6" t="s">
        <v>458</v>
      </c>
      <c r="G212" s="6" t="s">
        <v>831</v>
      </c>
      <c r="H212" s="6" t="s">
        <v>832</v>
      </c>
      <c r="I212" s="9" t="s">
        <v>563</v>
      </c>
      <c r="J212" s="9"/>
      <c r="K212" s="9"/>
      <c r="L212" s="9"/>
      <c r="M212" s="11"/>
      <c r="N212" s="18"/>
      <c r="O212" s="18"/>
      <c r="P212" s="11" t="str">
        <f aca="false">IFERROR(INDEX(WBS!$O$6:$O$59,MATCH($F212,WBS!$A$6:$A$59,0)),"")</f>
        <v>SOC・セキュリティ・業務担当</v>
      </c>
    </row>
    <row r="213" customFormat="false" ht="63.75" hidden="false" customHeight="true" outlineLevel="0" collapsed="false">
      <c r="A213" s="6" t="n">
        <v>210</v>
      </c>
      <c r="B213" s="6" t="n">
        <v>181</v>
      </c>
      <c r="C213" s="6" t="s">
        <v>888</v>
      </c>
      <c r="D213" s="6" t="s">
        <v>667</v>
      </c>
      <c r="E213" s="6" t="s">
        <v>920</v>
      </c>
      <c r="F213" s="6" t="s">
        <v>458</v>
      </c>
      <c r="G213" s="6" t="s">
        <v>831</v>
      </c>
      <c r="H213" s="6" t="s">
        <v>832</v>
      </c>
      <c r="I213" s="9" t="s">
        <v>563</v>
      </c>
      <c r="J213" s="9"/>
      <c r="K213" s="9"/>
      <c r="L213" s="9"/>
      <c r="M213" s="11"/>
      <c r="N213" s="18"/>
      <c r="O213" s="18"/>
      <c r="P213" s="11" t="str">
        <f aca="false">IFERROR(INDEX(WBS!$O$6:$O$59,MATCH($F213,WBS!$A$6:$A$59,0)),"")</f>
        <v>SOC・セキュリティ・業務担当</v>
      </c>
    </row>
    <row r="214" customFormat="false" ht="63.75" hidden="false" customHeight="true" outlineLevel="0" collapsed="false">
      <c r="A214" s="6" t="n">
        <v>211</v>
      </c>
      <c r="B214" s="6" t="n">
        <v>183</v>
      </c>
      <c r="C214" s="6" t="s">
        <v>888</v>
      </c>
      <c r="D214" s="6" t="s">
        <v>667</v>
      </c>
      <c r="E214" s="6" t="s">
        <v>921</v>
      </c>
      <c r="F214" s="6" t="s">
        <v>458</v>
      </c>
      <c r="G214" s="6" t="s">
        <v>831</v>
      </c>
      <c r="H214" s="6" t="s">
        <v>844</v>
      </c>
      <c r="I214" s="9" t="s">
        <v>563</v>
      </c>
      <c r="J214" s="9"/>
      <c r="K214" s="9"/>
      <c r="L214" s="9"/>
      <c r="M214" s="11" t="s">
        <v>468</v>
      </c>
      <c r="N214" s="18"/>
      <c r="O214" s="18"/>
      <c r="P214" s="11" t="str">
        <f aca="false">IFERROR(INDEX(WBS!$O$6:$O$59,MATCH($F214,WBS!$A$6:$A$59,0)),"")</f>
        <v>SOC・セキュリティ・業務担当</v>
      </c>
    </row>
    <row r="215" customFormat="false" ht="63.75" hidden="false" customHeight="true" outlineLevel="0" collapsed="false">
      <c r="A215" s="6" t="n">
        <v>212</v>
      </c>
      <c r="B215" s="6" t="n">
        <v>225</v>
      </c>
      <c r="C215" s="6" t="s">
        <v>888</v>
      </c>
      <c r="D215" s="6" t="s">
        <v>922</v>
      </c>
      <c r="E215" s="6" t="s">
        <v>923</v>
      </c>
      <c r="F215" s="6" t="s">
        <v>458</v>
      </c>
      <c r="G215" s="6" t="s">
        <v>831</v>
      </c>
      <c r="H215" s="6" t="s">
        <v>832</v>
      </c>
      <c r="I215" s="9" t="s">
        <v>563</v>
      </c>
      <c r="J215" s="9"/>
      <c r="K215" s="9"/>
      <c r="L215" s="9"/>
      <c r="M215" s="11"/>
      <c r="N215" s="18"/>
      <c r="O215" s="18"/>
      <c r="P215" s="11" t="str">
        <f aca="false">IFERROR(INDEX(WBS!$O$6:$O$59,MATCH($F215,WBS!$A$6:$A$59,0)),"")</f>
        <v>SOC・セキュリティ・業務担当</v>
      </c>
    </row>
    <row r="216" customFormat="false" ht="63.75" hidden="false" customHeight="true" outlineLevel="0" collapsed="false">
      <c r="A216" s="6" t="n">
        <v>213</v>
      </c>
      <c r="B216" s="6" t="n">
        <v>228</v>
      </c>
      <c r="C216" s="6" t="s">
        <v>888</v>
      </c>
      <c r="D216" s="6" t="s">
        <v>608</v>
      </c>
      <c r="E216" s="6" t="s">
        <v>924</v>
      </c>
      <c r="F216" s="6" t="s">
        <v>458</v>
      </c>
      <c r="G216" s="6" t="s">
        <v>831</v>
      </c>
      <c r="H216" s="6" t="s">
        <v>844</v>
      </c>
      <c r="I216" s="9" t="s">
        <v>563</v>
      </c>
      <c r="J216" s="9"/>
      <c r="K216" s="9"/>
      <c r="L216" s="9"/>
      <c r="M216" s="11" t="s">
        <v>468</v>
      </c>
      <c r="N216" s="18"/>
      <c r="O216" s="18"/>
      <c r="P216" s="11" t="str">
        <f aca="false">IFERROR(INDEX(WBS!$O$6:$O$59,MATCH($F216,WBS!$A$6:$A$59,0)),"")</f>
        <v>SOC・セキュリティ・業務担当</v>
      </c>
    </row>
    <row r="217" customFormat="false" ht="49.5" hidden="false" customHeight="true" outlineLevel="0" collapsed="false">
      <c r="A217" s="6" t="n">
        <v>214</v>
      </c>
      <c r="B217" s="6" t="n">
        <v>184</v>
      </c>
      <c r="C217" s="6" t="s">
        <v>888</v>
      </c>
      <c r="D217" s="6" t="s">
        <v>840</v>
      </c>
      <c r="E217" s="6" t="s">
        <v>925</v>
      </c>
      <c r="F217" s="6" t="s">
        <v>458</v>
      </c>
      <c r="G217" s="6" t="s">
        <v>831</v>
      </c>
      <c r="H217" s="6" t="s">
        <v>832</v>
      </c>
      <c r="I217" s="9" t="s">
        <v>563</v>
      </c>
      <c r="J217" s="9"/>
      <c r="K217" s="9"/>
      <c r="L217" s="9"/>
      <c r="M217" s="11"/>
      <c r="N217" s="18"/>
      <c r="O217" s="18"/>
      <c r="P217" s="11" t="str">
        <f aca="false">IFERROR(INDEX(WBS!$O$6:$O$59,MATCH($F217,WBS!$A$6:$A$59,0)),"")</f>
        <v>SOC・セキュリティ・業務担当</v>
      </c>
    </row>
    <row r="218" customFormat="false" ht="63.75" hidden="false" customHeight="true" outlineLevel="0" collapsed="false">
      <c r="A218" s="6" t="n">
        <v>215</v>
      </c>
      <c r="B218" s="6" t="n">
        <v>216</v>
      </c>
      <c r="C218" s="6" t="s">
        <v>888</v>
      </c>
      <c r="D218" s="6" t="s">
        <v>926</v>
      </c>
      <c r="E218" s="6" t="s">
        <v>927</v>
      </c>
      <c r="F218" s="6" t="s">
        <v>458</v>
      </c>
      <c r="G218" s="6" t="s">
        <v>831</v>
      </c>
      <c r="H218" s="6" t="s">
        <v>844</v>
      </c>
      <c r="I218" s="9" t="s">
        <v>563</v>
      </c>
      <c r="J218" s="9"/>
      <c r="K218" s="9"/>
      <c r="L218" s="9"/>
      <c r="M218" s="11" t="s">
        <v>468</v>
      </c>
      <c r="N218" s="18"/>
      <c r="O218" s="18"/>
      <c r="P218" s="11" t="str">
        <f aca="false">IFERROR(INDEX(WBS!$O$6:$O$59,MATCH($F218,WBS!$A$6:$A$59,0)),"")</f>
        <v>SOC・セキュリティ・業務担当</v>
      </c>
    </row>
    <row r="219" customFormat="false" ht="63.75" hidden="false" customHeight="true" outlineLevel="0" collapsed="false">
      <c r="A219" s="6" t="n">
        <v>216</v>
      </c>
      <c r="B219" s="6" t="n">
        <v>219</v>
      </c>
      <c r="C219" s="6" t="s">
        <v>888</v>
      </c>
      <c r="D219" s="6" t="s">
        <v>630</v>
      </c>
      <c r="E219" s="6" t="s">
        <v>928</v>
      </c>
      <c r="F219" s="6" t="s">
        <v>458</v>
      </c>
      <c r="G219" s="6" t="s">
        <v>831</v>
      </c>
      <c r="H219" s="6" t="s">
        <v>844</v>
      </c>
      <c r="I219" s="9" t="s">
        <v>563</v>
      </c>
      <c r="J219" s="9"/>
      <c r="K219" s="9"/>
      <c r="L219" s="9"/>
      <c r="M219" s="11" t="s">
        <v>468</v>
      </c>
      <c r="N219" s="18"/>
      <c r="O219" s="18"/>
      <c r="P219" s="11" t="str">
        <f aca="false">IFERROR(INDEX(WBS!$O$6:$O$59,MATCH($F219,WBS!$A$6:$A$59,0)),"")</f>
        <v>SOC・セキュリティ・業務担当</v>
      </c>
    </row>
    <row r="220" customFormat="false" ht="63.75" hidden="false" customHeight="true" outlineLevel="0" collapsed="false">
      <c r="A220" s="6" t="n">
        <v>217</v>
      </c>
      <c r="B220" s="6" t="n">
        <v>197</v>
      </c>
      <c r="C220" s="6" t="s">
        <v>888</v>
      </c>
      <c r="D220" s="6" t="s">
        <v>929</v>
      </c>
      <c r="E220" s="6" t="s">
        <v>930</v>
      </c>
      <c r="F220" s="6" t="s">
        <v>458</v>
      </c>
      <c r="G220" s="6" t="s">
        <v>831</v>
      </c>
      <c r="H220" s="6" t="s">
        <v>844</v>
      </c>
      <c r="I220" s="9" t="s">
        <v>563</v>
      </c>
      <c r="J220" s="9"/>
      <c r="K220" s="9"/>
      <c r="L220" s="9"/>
      <c r="M220" s="11" t="s">
        <v>468</v>
      </c>
      <c r="N220" s="18"/>
      <c r="O220" s="18"/>
      <c r="P220" s="11" t="str">
        <f aca="false">IFERROR(INDEX(WBS!$O$6:$O$59,MATCH($F220,WBS!$A$6:$A$59,0)),"")</f>
        <v>SOC・セキュリティ・業務担当</v>
      </c>
    </row>
    <row r="221" customFormat="false" ht="39.75" hidden="false" customHeight="true" outlineLevel="0" collapsed="false">
      <c r="A221" s="6" t="n">
        <v>218</v>
      </c>
      <c r="B221" s="6" t="n">
        <v>222</v>
      </c>
      <c r="C221" s="6" t="s">
        <v>888</v>
      </c>
      <c r="D221" s="6" t="s">
        <v>712</v>
      </c>
      <c r="E221" s="6" t="s">
        <v>931</v>
      </c>
      <c r="F221" s="6" t="s">
        <v>458</v>
      </c>
      <c r="G221" s="6" t="s">
        <v>831</v>
      </c>
      <c r="H221" s="6" t="s">
        <v>832</v>
      </c>
      <c r="I221" s="9" t="s">
        <v>563</v>
      </c>
      <c r="J221" s="9"/>
      <c r="K221" s="9"/>
      <c r="L221" s="9"/>
      <c r="M221" s="11"/>
      <c r="N221" s="18"/>
      <c r="O221" s="18"/>
      <c r="P221" s="11" t="str">
        <f aca="false">IFERROR(INDEX(WBS!$O$6:$O$59,MATCH($F221,WBS!$A$6:$A$59,0)),"")</f>
        <v>SOC・セキュリティ・業務担当</v>
      </c>
    </row>
    <row r="222" customFormat="false" ht="49.5" hidden="false" customHeight="true" outlineLevel="0" collapsed="false">
      <c r="A222" s="6" t="n">
        <v>219</v>
      </c>
      <c r="B222" s="6" t="n">
        <v>187</v>
      </c>
      <c r="C222" s="6" t="s">
        <v>888</v>
      </c>
      <c r="D222" s="6" t="s">
        <v>932</v>
      </c>
      <c r="E222" s="6" t="s">
        <v>933</v>
      </c>
      <c r="F222" s="6" t="s">
        <v>458</v>
      </c>
      <c r="G222" s="6" t="s">
        <v>831</v>
      </c>
      <c r="H222" s="6" t="s">
        <v>832</v>
      </c>
      <c r="I222" s="9" t="s">
        <v>563</v>
      </c>
      <c r="J222" s="9"/>
      <c r="K222" s="9"/>
      <c r="L222" s="9"/>
      <c r="M222" s="11"/>
      <c r="N222" s="18"/>
      <c r="O222" s="18"/>
      <c r="P222" s="11" t="str">
        <f aca="false">IFERROR(INDEX(WBS!$O$6:$O$59,MATCH($F222,WBS!$A$6:$A$59,0)),"")</f>
        <v>SOC・セキュリティ・業務担当</v>
      </c>
    </row>
    <row r="223" customFormat="false" ht="49.5" hidden="false" customHeight="true" outlineLevel="0" collapsed="false">
      <c r="A223" s="6" t="n">
        <v>220</v>
      </c>
      <c r="B223" s="6" t="n">
        <v>189</v>
      </c>
      <c r="C223" s="6" t="s">
        <v>888</v>
      </c>
      <c r="D223" s="6" t="s">
        <v>932</v>
      </c>
      <c r="E223" s="6" t="s">
        <v>934</v>
      </c>
      <c r="F223" s="6" t="s">
        <v>458</v>
      </c>
      <c r="G223" s="6" t="s">
        <v>831</v>
      </c>
      <c r="H223" s="6" t="s">
        <v>832</v>
      </c>
      <c r="I223" s="9" t="s">
        <v>563</v>
      </c>
      <c r="J223" s="9"/>
      <c r="K223" s="9"/>
      <c r="L223" s="9"/>
      <c r="M223" s="11"/>
      <c r="N223" s="18"/>
      <c r="O223" s="18"/>
      <c r="P223" s="11" t="str">
        <f aca="false">IFERROR(INDEX(WBS!$O$6:$O$59,MATCH($F223,WBS!$A$6:$A$59,0)),"")</f>
        <v>SOC・セキュリティ・業務担当</v>
      </c>
    </row>
    <row r="224" customFormat="false" ht="39.75" hidden="false" customHeight="true" outlineLevel="0" collapsed="false">
      <c r="A224" s="6" t="n">
        <v>221</v>
      </c>
      <c r="B224" s="6" t="n">
        <v>206</v>
      </c>
      <c r="C224" s="6" t="s">
        <v>888</v>
      </c>
      <c r="D224" s="6" t="s">
        <v>935</v>
      </c>
      <c r="E224" s="6" t="s">
        <v>936</v>
      </c>
      <c r="F224" s="6" t="s">
        <v>458</v>
      </c>
      <c r="G224" s="6" t="s">
        <v>831</v>
      </c>
      <c r="H224" s="6" t="s">
        <v>832</v>
      </c>
      <c r="I224" s="9" t="s">
        <v>563</v>
      </c>
      <c r="J224" s="9"/>
      <c r="K224" s="9"/>
      <c r="L224" s="9"/>
      <c r="M224" s="11"/>
      <c r="N224" s="18"/>
      <c r="O224" s="18"/>
      <c r="P224" s="11" t="str">
        <f aca="false">IFERROR(INDEX(WBS!$O$6:$O$59,MATCH($F224,WBS!$A$6:$A$59,0)),"")</f>
        <v>SOC・セキュリティ・業務担当</v>
      </c>
    </row>
    <row r="225" customFormat="false" ht="63.75" hidden="false" customHeight="true" outlineLevel="0" collapsed="false">
      <c r="A225" s="6" t="n">
        <v>222</v>
      </c>
      <c r="B225" s="6" t="n">
        <v>210</v>
      </c>
      <c r="C225" s="6" t="s">
        <v>888</v>
      </c>
      <c r="D225" s="6" t="s">
        <v>937</v>
      </c>
      <c r="E225" s="6" t="s">
        <v>938</v>
      </c>
      <c r="F225" s="6" t="s">
        <v>477</v>
      </c>
      <c r="G225" s="6" t="s">
        <v>597</v>
      </c>
      <c r="H225" s="6" t="s">
        <v>725</v>
      </c>
      <c r="I225" s="9" t="s">
        <v>563</v>
      </c>
      <c r="J225" s="9"/>
      <c r="K225" s="9"/>
      <c r="L225" s="9"/>
      <c r="M225" s="11"/>
      <c r="N225" s="18"/>
      <c r="O225" s="18"/>
      <c r="P225" s="11" t="str">
        <f aca="false">IFERROR(INDEX(WBS!$O$6:$O$59,MATCH($F225,WBS!$A$6:$A$59,0)),"")</f>
        <v>各運用責任者・人事・法務</v>
      </c>
    </row>
    <row r="226" customFormat="false" ht="63.75" hidden="false" customHeight="true" outlineLevel="0" collapsed="false">
      <c r="A226" s="6" t="n">
        <v>223</v>
      </c>
      <c r="B226" s="6" t="n">
        <v>218</v>
      </c>
      <c r="C226" s="6" t="s">
        <v>888</v>
      </c>
      <c r="D226" s="6" t="s">
        <v>939</v>
      </c>
      <c r="E226" s="6" t="s">
        <v>940</v>
      </c>
      <c r="F226" s="6" t="s">
        <v>458</v>
      </c>
      <c r="G226" s="6" t="s">
        <v>831</v>
      </c>
      <c r="H226" s="6" t="s">
        <v>844</v>
      </c>
      <c r="I226" s="9" t="s">
        <v>563</v>
      </c>
      <c r="J226" s="9"/>
      <c r="K226" s="9"/>
      <c r="L226" s="9"/>
      <c r="M226" s="11" t="s">
        <v>468</v>
      </c>
      <c r="N226" s="18"/>
      <c r="O226" s="18"/>
      <c r="P226" s="11" t="str">
        <f aca="false">IFERROR(INDEX(WBS!$O$6:$O$59,MATCH($F226,WBS!$A$6:$A$59,0)),"")</f>
        <v>SOC・セキュリティ・業務担当</v>
      </c>
    </row>
    <row r="227" customFormat="false" ht="39.75" hidden="false" customHeight="true" outlineLevel="0" collapsed="false">
      <c r="A227" s="6" t="n">
        <v>224</v>
      </c>
      <c r="B227" s="6" t="n">
        <v>194</v>
      </c>
      <c r="C227" s="6" t="s">
        <v>888</v>
      </c>
      <c r="D227" s="6" t="s">
        <v>941</v>
      </c>
      <c r="E227" s="6" t="s">
        <v>942</v>
      </c>
      <c r="F227" s="6" t="s">
        <v>458</v>
      </c>
      <c r="G227" s="6" t="s">
        <v>831</v>
      </c>
      <c r="H227" s="6" t="s">
        <v>832</v>
      </c>
      <c r="I227" s="9" t="s">
        <v>563</v>
      </c>
      <c r="J227" s="9"/>
      <c r="K227" s="9"/>
      <c r="L227" s="9"/>
      <c r="M227" s="11"/>
      <c r="N227" s="18"/>
      <c r="O227" s="18"/>
      <c r="P227" s="11" t="str">
        <f aca="false">IFERROR(INDEX(WBS!$O$6:$O$59,MATCH($F227,WBS!$A$6:$A$59,0)),"")</f>
        <v>SOC・セキュリティ・業務担当</v>
      </c>
    </row>
    <row r="228" customFormat="false" ht="120" hidden="false" customHeight="true" outlineLevel="0" collapsed="false">
      <c r="A228" s="6" t="n">
        <v>225</v>
      </c>
      <c r="B228" s="6" t="n">
        <v>185</v>
      </c>
      <c r="C228" s="6" t="s">
        <v>888</v>
      </c>
      <c r="D228" s="6" t="s">
        <v>635</v>
      </c>
      <c r="E228" s="6" t="s">
        <v>943</v>
      </c>
      <c r="F228" s="6" t="s">
        <v>458</v>
      </c>
      <c r="G228" s="6" t="s">
        <v>831</v>
      </c>
      <c r="H228" s="6" t="s">
        <v>832</v>
      </c>
      <c r="I228" s="9" t="s">
        <v>563</v>
      </c>
      <c r="J228" s="9"/>
      <c r="K228" s="9"/>
      <c r="L228" s="9"/>
      <c r="M228" s="11"/>
      <c r="N228" s="18"/>
      <c r="O228" s="18"/>
      <c r="P228" s="11" t="str">
        <f aca="false">IFERROR(INDEX(WBS!$O$6:$O$59,MATCH($F228,WBS!$A$6:$A$59,0)),"")</f>
        <v>SOC・セキュリティ・業務担当</v>
      </c>
    </row>
    <row r="229" customFormat="false" ht="49.5" hidden="false" customHeight="true" outlineLevel="0" collapsed="false">
      <c r="A229" s="6" t="n">
        <v>226</v>
      </c>
      <c r="B229" s="6" t="n">
        <v>203</v>
      </c>
      <c r="C229" s="6" t="s">
        <v>888</v>
      </c>
      <c r="D229" s="6" t="s">
        <v>639</v>
      </c>
      <c r="E229" s="6" t="s">
        <v>944</v>
      </c>
      <c r="F229" s="6" t="s">
        <v>317</v>
      </c>
      <c r="G229" s="6" t="s">
        <v>571</v>
      </c>
      <c r="H229" s="6" t="s">
        <v>615</v>
      </c>
      <c r="I229" s="9" t="s">
        <v>563</v>
      </c>
      <c r="J229" s="9"/>
      <c r="K229" s="9"/>
      <c r="L229" s="9"/>
      <c r="M229" s="11"/>
      <c r="N229" s="18"/>
      <c r="O229" s="18"/>
      <c r="P229" s="11" t="str">
        <f aca="false">IFERROR(INDEX(WBS!$O$6:$O$59,MATCH($F229,WBS!$A$6:$A$59,0)),"")</f>
        <v>AD／Windows管理者</v>
      </c>
    </row>
    <row r="230" customFormat="false" ht="39.75" hidden="false" customHeight="true" outlineLevel="0" collapsed="false">
      <c r="A230" s="6" t="n">
        <v>227</v>
      </c>
      <c r="B230" s="6" t="n">
        <v>182</v>
      </c>
      <c r="C230" s="6" t="s">
        <v>888</v>
      </c>
      <c r="D230" s="6" t="s">
        <v>945</v>
      </c>
      <c r="E230" s="6" t="s">
        <v>946</v>
      </c>
      <c r="F230" s="6" t="s">
        <v>458</v>
      </c>
      <c r="G230" s="6" t="s">
        <v>831</v>
      </c>
      <c r="H230" s="6" t="s">
        <v>832</v>
      </c>
      <c r="I230" s="9" t="s">
        <v>563</v>
      </c>
      <c r="J230" s="9"/>
      <c r="K230" s="9"/>
      <c r="L230" s="9"/>
      <c r="M230" s="11"/>
      <c r="N230" s="18"/>
      <c r="O230" s="18"/>
      <c r="P230" s="11" t="str">
        <f aca="false">IFERROR(INDEX(WBS!$O$6:$O$59,MATCH($F230,WBS!$A$6:$A$59,0)),"")</f>
        <v>SOC・セキュリティ・業務担当</v>
      </c>
    </row>
    <row r="231" customFormat="false" ht="63.75" hidden="false" customHeight="true" outlineLevel="0" collapsed="false">
      <c r="A231" s="6" t="n">
        <v>228</v>
      </c>
      <c r="B231" s="6" t="n">
        <v>217</v>
      </c>
      <c r="C231" s="6" t="s">
        <v>888</v>
      </c>
      <c r="D231" s="6" t="s">
        <v>947</v>
      </c>
      <c r="E231" s="6" t="s">
        <v>948</v>
      </c>
      <c r="F231" s="6" t="s">
        <v>458</v>
      </c>
      <c r="G231" s="6" t="s">
        <v>831</v>
      </c>
      <c r="H231" s="6" t="s">
        <v>844</v>
      </c>
      <c r="I231" s="9" t="s">
        <v>563</v>
      </c>
      <c r="J231" s="9"/>
      <c r="K231" s="9"/>
      <c r="L231" s="9"/>
      <c r="M231" s="11" t="s">
        <v>468</v>
      </c>
      <c r="N231" s="18"/>
      <c r="O231" s="18"/>
      <c r="P231" s="11" t="str">
        <f aca="false">IFERROR(INDEX(WBS!$O$6:$O$59,MATCH($F231,WBS!$A$6:$A$59,0)),"")</f>
        <v>SOC・セキュリティ・業務担当</v>
      </c>
    </row>
    <row r="232" customFormat="false" ht="39.75" hidden="false" customHeight="true" outlineLevel="0" collapsed="false">
      <c r="A232" s="6" t="n">
        <v>229</v>
      </c>
      <c r="B232" s="6" t="n">
        <v>193</v>
      </c>
      <c r="C232" s="6" t="s">
        <v>888</v>
      </c>
      <c r="D232" s="6" t="s">
        <v>949</v>
      </c>
      <c r="E232" s="6" t="s">
        <v>950</v>
      </c>
      <c r="F232" s="6" t="s">
        <v>458</v>
      </c>
      <c r="G232" s="6" t="s">
        <v>831</v>
      </c>
      <c r="H232" s="6" t="s">
        <v>832</v>
      </c>
      <c r="I232" s="9" t="s">
        <v>563</v>
      </c>
      <c r="J232" s="9"/>
      <c r="K232" s="9"/>
      <c r="L232" s="9"/>
      <c r="M232" s="11"/>
      <c r="N232" s="18"/>
      <c r="O232" s="18"/>
      <c r="P232" s="11" t="str">
        <f aca="false">IFERROR(INDEX(WBS!$O$6:$O$59,MATCH($F232,WBS!$A$6:$A$59,0)),"")</f>
        <v>SOC・セキュリティ・業務担当</v>
      </c>
    </row>
    <row r="233" customFormat="false" ht="63.75" hidden="false" customHeight="true" outlineLevel="0" collapsed="false">
      <c r="A233" s="6" t="n">
        <v>230</v>
      </c>
      <c r="B233" s="6" t="n">
        <v>186</v>
      </c>
      <c r="C233" s="6" t="s">
        <v>888</v>
      </c>
      <c r="D233" s="6" t="s">
        <v>951</v>
      </c>
      <c r="E233" s="6" t="s">
        <v>952</v>
      </c>
      <c r="F233" s="6" t="s">
        <v>458</v>
      </c>
      <c r="G233" s="6" t="s">
        <v>831</v>
      </c>
      <c r="H233" s="6" t="s">
        <v>844</v>
      </c>
      <c r="I233" s="9" t="s">
        <v>563</v>
      </c>
      <c r="J233" s="9"/>
      <c r="K233" s="9"/>
      <c r="L233" s="9"/>
      <c r="M233" s="11" t="s">
        <v>468</v>
      </c>
      <c r="N233" s="18"/>
      <c r="O233" s="18"/>
      <c r="P233" s="11" t="str">
        <f aca="false">IFERROR(INDEX(WBS!$O$6:$O$59,MATCH($F233,WBS!$A$6:$A$59,0)),"")</f>
        <v>SOC・セキュリティ・業務担当</v>
      </c>
    </row>
    <row r="234" customFormat="false" ht="39.75" hidden="false" customHeight="true" outlineLevel="0" collapsed="false">
      <c r="A234" s="6" t="n">
        <v>231</v>
      </c>
      <c r="B234" s="6" t="n">
        <v>204</v>
      </c>
      <c r="C234" s="6" t="s">
        <v>888</v>
      </c>
      <c r="D234" s="6" t="s">
        <v>953</v>
      </c>
      <c r="E234" s="6" t="s">
        <v>954</v>
      </c>
      <c r="F234" s="6" t="s">
        <v>458</v>
      </c>
      <c r="G234" s="6" t="s">
        <v>831</v>
      </c>
      <c r="H234" s="6" t="s">
        <v>832</v>
      </c>
      <c r="I234" s="9" t="s">
        <v>563</v>
      </c>
      <c r="J234" s="9"/>
      <c r="K234" s="9"/>
      <c r="L234" s="9"/>
      <c r="M234" s="11"/>
      <c r="N234" s="18"/>
      <c r="O234" s="18"/>
      <c r="P234" s="11" t="str">
        <f aca="false">IFERROR(INDEX(WBS!$O$6:$O$59,MATCH($F234,WBS!$A$6:$A$59,0)),"")</f>
        <v>SOC・セキュリティ・業務担当</v>
      </c>
    </row>
    <row r="235" customFormat="false" ht="39.75" hidden="false" customHeight="true" outlineLevel="0" collapsed="false">
      <c r="A235" s="6" t="n">
        <v>232</v>
      </c>
      <c r="B235" s="6" t="n">
        <v>224</v>
      </c>
      <c r="C235" s="6" t="s">
        <v>888</v>
      </c>
      <c r="D235" s="6" t="s">
        <v>955</v>
      </c>
      <c r="E235" s="6" t="s">
        <v>956</v>
      </c>
      <c r="F235" s="6" t="s">
        <v>341</v>
      </c>
      <c r="G235" s="6" t="s">
        <v>571</v>
      </c>
      <c r="H235" s="6" t="s">
        <v>753</v>
      </c>
      <c r="I235" s="9" t="s">
        <v>563</v>
      </c>
      <c r="J235" s="9"/>
      <c r="K235" s="9"/>
      <c r="L235" s="9"/>
      <c r="M235" s="11"/>
      <c r="N235" s="18"/>
      <c r="O235" s="18"/>
      <c r="P235" s="11" t="str">
        <f aca="false">IFERROR(INDEX(WBS!$O$6:$O$59,MATCH($F235,WBS!$A$6:$A$59,0)),"")</f>
        <v>仮想化基盤・セキュリティ運用担当</v>
      </c>
    </row>
    <row r="236" customFormat="false" ht="49.5" hidden="false" customHeight="true" outlineLevel="0" collapsed="false">
      <c r="A236" s="6" t="n">
        <v>233</v>
      </c>
      <c r="B236" s="6" t="n">
        <v>188</v>
      </c>
      <c r="C236" s="6" t="s">
        <v>888</v>
      </c>
      <c r="D236" s="6" t="s">
        <v>957</v>
      </c>
      <c r="E236" s="6" t="s">
        <v>958</v>
      </c>
      <c r="F236" s="6" t="s">
        <v>407</v>
      </c>
      <c r="G236" s="6" t="s">
        <v>810</v>
      </c>
      <c r="H236" s="6" t="s">
        <v>907</v>
      </c>
      <c r="I236" s="9" t="s">
        <v>563</v>
      </c>
      <c r="J236" s="9"/>
      <c r="K236" s="9"/>
      <c r="L236" s="9"/>
      <c r="M236" s="11"/>
      <c r="N236" s="18"/>
      <c r="O236" s="18"/>
      <c r="P236" s="11" t="str">
        <f aca="false">IFERROR(INDEX(WBS!$O$6:$O$59,MATCH($F236,WBS!$A$6:$A$59,0)),"")</f>
        <v>バックアップ担当</v>
      </c>
    </row>
  </sheetData>
  <autoFilter ref="A5:P236"/>
  <dataValidations count="1">
    <dataValidation allowBlank="false" errorStyle="stop" operator="between" showDropDown="false" showErrorMessage="false" showInputMessage="false" sqref="I6:I236" type="list">
      <formula1>"未確定,対象,対象外（承認済）"</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Y2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11"/>
    <col collapsed="false" customWidth="true" hidden="false" outlineLevel="0" max="4" min="4" style="0" width="20"/>
    <col collapsed="false" customWidth="true" hidden="false" outlineLevel="0" max="5" min="5" style="0" width="46"/>
    <col collapsed="false" customWidth="true" hidden="false" outlineLevel="0" max="6" min="6" style="0" width="9"/>
    <col collapsed="false" customWidth="true" hidden="false" outlineLevel="0" max="7" min="7" style="0" width="10"/>
    <col collapsed="false" customWidth="true" hidden="false" outlineLevel="0" max="8" min="8" style="0" width="13"/>
    <col collapsed="false" customWidth="true" hidden="false" outlineLevel="0" max="9" min="9" style="0" width="20"/>
    <col collapsed="false" customWidth="true" hidden="false" outlineLevel="0" max="10" min="10" style="0" width="11"/>
    <col collapsed="false" customWidth="true" hidden="false" outlineLevel="0" max="11" min="11" style="0" width="28"/>
    <col collapsed="false" customWidth="true" hidden="false" outlineLevel="0" max="12" min="12" style="0" width="42"/>
    <col collapsed="false" customWidth="true" hidden="false" outlineLevel="0" max="13" min="13" style="0" width="18"/>
    <col collapsed="false" customWidth="true" hidden="false" outlineLevel="0" max="14" min="14" style="0" width="16"/>
    <col collapsed="false" customWidth="true" hidden="false" outlineLevel="0" max="15" min="15" style="0" width="14"/>
    <col collapsed="false" customWidth="true" hidden="false" outlineLevel="0" max="16" min="16" style="0" width="9"/>
    <col collapsed="false" customWidth="true" hidden="false" outlineLevel="0" max="17" min="17" style="0" width="32"/>
    <col collapsed="false" customWidth="true" hidden="false" outlineLevel="0" max="18" min="18" style="0" width="14"/>
    <col collapsed="false" customWidth="true" hidden="false" outlineLevel="0" max="19" min="19" style="0" width="50"/>
    <col collapsed="false" customWidth="true" hidden="false" outlineLevel="0" max="20" min="20" style="0" width="36"/>
    <col collapsed="false" customWidth="true" hidden="false" outlineLevel="0" max="22" min="21" style="0" width="9"/>
    <col collapsed="false" customWidth="true" hidden="false" outlineLevel="0" max="23" min="23" style="0" width="3"/>
    <col collapsed="false" customWidth="true" hidden="false" outlineLevel="0" max="24" min="24" style="0" width="24"/>
    <col collapsed="false" customWidth="true" hidden="false" outlineLevel="0" max="25" min="25" style="0" width="8"/>
  </cols>
  <sheetData>
    <row r="2" customFormat="false" ht="23.85" hidden="false" customHeight="false" outlineLevel="0" collapsed="false">
      <c r="A2" s="19" t="s">
        <v>959</v>
      </c>
    </row>
    <row r="3" customFormat="false" ht="45.75" hidden="false" customHeight="true" outlineLevel="0" collapsed="false">
      <c r="A3" s="20" t="s">
        <v>960</v>
      </c>
      <c r="B3" s="20"/>
      <c r="C3" s="20"/>
      <c r="D3" s="20"/>
      <c r="E3" s="20"/>
      <c r="F3" s="20"/>
      <c r="G3" s="20"/>
      <c r="H3" s="20"/>
      <c r="I3" s="20"/>
      <c r="J3" s="20"/>
      <c r="K3" s="20"/>
      <c r="L3" s="20"/>
      <c r="M3" s="20"/>
      <c r="N3" s="20"/>
      <c r="O3" s="20"/>
      <c r="P3" s="20"/>
      <c r="Q3" s="20"/>
    </row>
    <row r="4" customFormat="false" ht="15" hidden="false" customHeight="false" outlineLevel="0" collapsed="false">
      <c r="A4" s="21" t="s">
        <v>961</v>
      </c>
      <c r="D4" s="22"/>
      <c r="E4" s="23" t="s">
        <v>962</v>
      </c>
      <c r="P4" s="21" t="s">
        <v>963</v>
      </c>
      <c r="Q4" s="21" t="str">
        <f aca="false">COUNTIF(Q7:Q237,"OK")&amp;" / "&amp;COUNTA(A7:A237)&amp;" 行がOK"</f>
        <v>0 / 231 行がOK</v>
      </c>
    </row>
    <row r="5" customFormat="false" ht="43.5" hidden="false" customHeight="true" outlineLevel="0" collapsed="false">
      <c r="A5" s="5" t="s">
        <v>543</v>
      </c>
      <c r="B5" s="5" t="s">
        <v>544</v>
      </c>
      <c r="C5" s="5" t="s">
        <v>548</v>
      </c>
      <c r="D5" s="5" t="s">
        <v>546</v>
      </c>
      <c r="E5" s="5" t="s">
        <v>547</v>
      </c>
      <c r="F5" s="5" t="s">
        <v>964</v>
      </c>
      <c r="G5" s="5" t="s">
        <v>965</v>
      </c>
      <c r="H5" s="5" t="s">
        <v>966</v>
      </c>
      <c r="I5" s="5" t="s">
        <v>967</v>
      </c>
      <c r="J5" s="5" t="s">
        <v>968</v>
      </c>
      <c r="K5" s="5" t="s">
        <v>969</v>
      </c>
      <c r="L5" s="5" t="s">
        <v>970</v>
      </c>
      <c r="M5" s="5" t="s">
        <v>971</v>
      </c>
      <c r="N5" s="5" t="s">
        <v>972</v>
      </c>
      <c r="O5" s="5" t="s">
        <v>973</v>
      </c>
      <c r="P5" s="5" t="s">
        <v>974</v>
      </c>
      <c r="Q5" s="5" t="s">
        <v>975</v>
      </c>
      <c r="R5" s="5" t="s">
        <v>555</v>
      </c>
      <c r="S5" s="5" t="s">
        <v>976</v>
      </c>
      <c r="T5" s="5" t="s">
        <v>977</v>
      </c>
      <c r="U5" s="5" t="s">
        <v>978</v>
      </c>
      <c r="V5" s="5" t="s">
        <v>979</v>
      </c>
      <c r="X5" s="5" t="s">
        <v>980</v>
      </c>
      <c r="Y5" s="5" t="s">
        <v>981</v>
      </c>
    </row>
    <row r="6" customFormat="false" ht="57.75" hidden="false" customHeight="true" outlineLevel="0" collapsed="false">
      <c r="A6" s="24" t="s">
        <v>982</v>
      </c>
      <c r="B6" s="24" t="s">
        <v>983</v>
      </c>
      <c r="C6" s="24" t="s">
        <v>983</v>
      </c>
      <c r="D6" s="24" t="s">
        <v>984</v>
      </c>
      <c r="E6" s="24" t="s">
        <v>985</v>
      </c>
      <c r="F6" s="24" t="s">
        <v>986</v>
      </c>
      <c r="G6" s="24" t="s">
        <v>987</v>
      </c>
      <c r="H6" s="24" t="s">
        <v>988</v>
      </c>
      <c r="I6" s="24" t="s">
        <v>989</v>
      </c>
      <c r="J6" s="24" t="n">
        <v>3</v>
      </c>
      <c r="K6" s="24" t="s">
        <v>990</v>
      </c>
      <c r="L6" s="24" t="s">
        <v>991</v>
      </c>
      <c r="M6" s="24" t="s">
        <v>102</v>
      </c>
      <c r="N6" s="24" t="s">
        <v>992</v>
      </c>
      <c r="O6" s="24" t="s">
        <v>993</v>
      </c>
      <c r="X6" s="11" t="s">
        <v>994</v>
      </c>
      <c r="Y6" s="11" t="n">
        <v>5</v>
      </c>
    </row>
    <row r="7" customFormat="false" ht="36" hidden="false" customHeight="true" outlineLevel="0" collapsed="false">
      <c r="A7" s="13" t="n">
        <v>3</v>
      </c>
      <c r="B7" s="13" t="n">
        <f aca="false">INDEX(評価項目対応!$B$6:$B$236,$U7)</f>
        <v>119</v>
      </c>
      <c r="C7" s="13" t="str">
        <f aca="false">INDEX(評価項目対応!$F$6:$F$236,$U7)</f>
        <v>3.08</v>
      </c>
      <c r="D7" s="11" t="str">
        <f aca="false">INDEX(評価項目対応!$D$6:$D$236,$U7)</f>
        <v>資産管理と構成管理</v>
      </c>
      <c r="E7" s="11" t="str">
        <f aca="false">INDEX(評価項目対応!$E$6:$E$236,$U7)</f>
        <v>組織が包括的な資産管理アプローチを持っていることを確認する。</v>
      </c>
      <c r="F7" s="13" t="str">
        <f aca="false">IF($D$4="","",$D$4)</f>
        <v/>
      </c>
      <c r="G7" s="13" t="str">
        <f aca="false">IFERROR(IF(INDEX(評価項目対応!$I$6:$I$236,$U7)="対象","対象",IF(INDEX(評価項目対応!$I$6:$I$236,$U7)="対象外（承認済）","対象外",IF(INDEX(評価項目対応!$I$6:$I$236,$U7)="未確定","n/a",""))),"")</f>
        <v>n/a</v>
      </c>
      <c r="H7" s="25" t="str">
        <f aca="false">IF(ISBLANK(J7),"",IF(J7=5,"Yes",IF(J7=4,"Yes","No")))</f>
        <v/>
      </c>
      <c r="I7" s="18"/>
      <c r="J7" s="26"/>
      <c r="K7" s="18"/>
      <c r="L7" s="18"/>
      <c r="M7" s="11" t="str">
        <f aca="false">IF(INDEX(評価項目対応!$J$6:$J$236,$U7)="","",INDEX(評価項目対応!$J$6:$J$236,$U7))</f>
        <v/>
      </c>
      <c r="N7" s="11" t="str">
        <f aca="false">IF(INDEX(評価項目対応!$N$6:$N$236,$U7)="","",INDEX(評価項目対応!$N$6:$N$236,$U7))</f>
        <v/>
      </c>
      <c r="O7" s="11" t="str">
        <f aca="false">IF(INDEX(評価項目対応!$O$6:$O$236,$U7)="","",INDEX(評価項目対応!$O$6:$O$236,$U7))</f>
        <v/>
      </c>
      <c r="P7" s="27" t="n">
        <f aca="false">COUNTIF(F7:G7,"")+COUNTIF(I7:O7,"")-IF(AND(G7="対象外",K7=""),1,0)</f>
        <v>8</v>
      </c>
      <c r="Q7" s="11" t="str">
        <f aca="false">IF(F7="","会社名コード未設定（D4）",IF(OR(G7="",G7="n/a"),"適用性を確定（評価項目対応I列）",IF(AND(G7="対象外",OR(I7&lt;&gt;"対象外",J7&lt;&gt;"n/a")),"対象外ならR=対象外・S=n/a",IF(AND(G7="対象",OR(I7="対象外",J7="n/a")),"対象なのにR／Sが対象外・n/a",IF(AND(G7="対象",OR(I7="",J7="")),"R・Sを入力",IF(AND(ISNUMBER(J7),ISNUMBER(V7),ABS(N(J7)-N(V7))&gt;=1),"RとSの乖離（案分ならUに明記）",IF(AND(G7="対象",L7=""),"Uに制約・代替策・未検証を記載",IF(AND(G7="対象外",L7=""),"対象外の理由・承認者をUに記載",IF(OR(M7="",N7="",O7=""),"V～Xを入力",IF(P7&gt;0,"未記入あり（P列）","OK"))))))))))</f>
        <v>会社名コード未設定（D4）</v>
      </c>
      <c r="R7" s="11" t="str">
        <f aca="false">IF(INDEX(評価項目対応!$M$6:$M$236,$U7)="","",INDEX(評価項目対応!$M$6:$M$236,$U7))</f>
        <v/>
      </c>
      <c r="S7" s="11" t="str">
        <f aca="false">INDEX(評価項目対応!$H$6:$H$236,$U7)</f>
        <v>端末登録に加え、アプリ・データ・重要業務・依存関係・台帳保護を確認する。</v>
      </c>
      <c r="T7" s="11" t="str">
        <f aca="false">TRIM(IF(INDEX(評価項目対応!$K$6:$K$236,$U7)="","","試験ID: "&amp;INDEX(評価項目対応!$K$6:$K$236,$U7)&amp;"　")&amp;IF(INDEX(評価項目対応!$L$6:$L$236,$U7)="","","判断理由: "&amp;INDEX(評価項目対応!$L$6:$L$236,$U7)))</f>
        <v/>
      </c>
      <c r="U7" s="28" t="n">
        <f aca="false">MATCH($A7,評価項目対応!$A$6:$A$236,0)</f>
        <v>1</v>
      </c>
      <c r="V7" s="28" t="str">
        <f aca="false">IFERROR(VLOOKUP(I7,$X$6:$Y$11,2,FALSE()),"")</f>
        <v/>
      </c>
      <c r="X7" s="11" t="s">
        <v>995</v>
      </c>
      <c r="Y7" s="11" t="n">
        <v>4</v>
      </c>
    </row>
    <row r="8" customFormat="false" ht="49.5" hidden="false" customHeight="true" outlineLevel="0" collapsed="false">
      <c r="A8" s="13" t="n">
        <v>4</v>
      </c>
      <c r="B8" s="13" t="n">
        <f aca="false">INDEX(評価項目対応!$B$6:$B$236,$U8)</f>
        <v>120</v>
      </c>
      <c r="C8" s="13" t="str">
        <f aca="false">INDEX(評価項目対応!$F$6:$F$236,$U8)</f>
        <v>3.08</v>
      </c>
      <c r="D8" s="11" t="str">
        <f aca="false">INDEX(評価項目対応!$D$6:$D$236,$U8)</f>
        <v>資産管理と構成管理</v>
      </c>
      <c r="E8" s="11" t="str">
        <f aca="false">INDEX(評価項目対応!$E$6:$E$236,$U8)</f>
        <v>組織のITアセット、論理的（データ、ソフトウェアなど）および物理的（
ハードウェアなど）の在庫を把握する。</v>
      </c>
      <c r="F8" s="13" t="str">
        <f aca="false">IF($D$4="","",$D$4)</f>
        <v/>
      </c>
      <c r="G8" s="13" t="str">
        <f aca="false">IFERROR(IF(INDEX(評価項目対応!$I$6:$I$236,$U8)="対象","対象",IF(INDEX(評価項目対応!$I$6:$I$236,$U8)="対象外（承認済）","対象外",IF(INDEX(評価項目対応!$I$6:$I$236,$U8)="未確定","n/a",""))),"")</f>
        <v>n/a</v>
      </c>
      <c r="H8" s="25" t="str">
        <f aca="false">IF(ISBLANK(J8),"",IF(J8=5,"Yes",IF(J8=4,"Yes","No")))</f>
        <v/>
      </c>
      <c r="I8" s="18"/>
      <c r="J8" s="26"/>
      <c r="K8" s="18"/>
      <c r="L8" s="18"/>
      <c r="M8" s="11" t="str">
        <f aca="false">IF(INDEX(評価項目対応!$J$6:$J$236,$U8)="","",INDEX(評価項目対応!$J$6:$J$236,$U8))</f>
        <v/>
      </c>
      <c r="N8" s="11" t="str">
        <f aca="false">IF(INDEX(評価項目対応!$N$6:$N$236,$U8)="","",INDEX(評価項目対応!$N$6:$N$236,$U8))</f>
        <v/>
      </c>
      <c r="O8" s="11" t="str">
        <f aca="false">IF(INDEX(評価項目対応!$O$6:$O$236,$U8)="","",INDEX(評価項目対応!$O$6:$O$236,$U8))</f>
        <v/>
      </c>
      <c r="P8" s="27" t="n">
        <f aca="false">COUNTIF(F8:G8,"")+COUNTIF(I8:O8,"")-IF(AND(G8="対象外",K8=""),1,0)</f>
        <v>8</v>
      </c>
      <c r="Q8" s="11" t="str">
        <f aca="false">IF(F8="","会社名コード未設定（D4）",IF(OR(G8="",G8="n/a"),"適用性を確定（評価項目対応I列）",IF(AND(G8="対象外",OR(I8&lt;&gt;"対象外",J8&lt;&gt;"n/a")),"対象外ならR=対象外・S=n/a",IF(AND(G8="対象",OR(I8="対象外",J8="n/a")),"対象なのにR／Sが対象外・n/a",IF(AND(G8="対象",OR(I8="",J8="")),"R・Sを入力",IF(AND(ISNUMBER(J8),ISNUMBER(V8),ABS(N(J8)-N(V8))&gt;=1),"RとSの乖離（案分ならUに明記）",IF(AND(G8="対象",L8=""),"Uに制約・代替策・未検証を記載",IF(AND(G8="対象外",L8=""),"対象外の理由・承認者をUに記載",IF(OR(M8="",N8="",O8=""),"V～Xを入力",IF(P8&gt;0,"未記入あり（P列）","OK"))))))))))</f>
        <v>会社名コード未設定（D4）</v>
      </c>
      <c r="R8" s="11" t="str">
        <f aca="false">IF(INDEX(評価項目対応!$M$6:$M$236,$U8)="","",INDEX(評価項目対応!$M$6:$M$236,$U8))</f>
        <v/>
      </c>
      <c r="S8" s="11" t="str">
        <f aca="false">INDEX(評価項目対応!$H$6:$H$236,$U8)</f>
        <v>端末登録に加え、アプリ・データ・重要業務・依存関係・台帳保護を確認する。</v>
      </c>
      <c r="T8" s="11" t="str">
        <f aca="false">TRIM(IF(INDEX(評価項目対応!$K$6:$K$236,$U8)="","","試験ID: "&amp;INDEX(評価項目対応!$K$6:$K$236,$U8)&amp;"　")&amp;IF(INDEX(評価項目対応!$L$6:$L$236,$U8)="","","判断理由: "&amp;INDEX(評価項目対応!$L$6:$L$236,$U8)))</f>
        <v/>
      </c>
      <c r="U8" s="28" t="n">
        <f aca="false">MATCH($A8,評価項目対応!$A$6:$A$236,0)</f>
        <v>2</v>
      </c>
      <c r="V8" s="28" t="str">
        <f aca="false">IFERROR(VLOOKUP(I8,$X$6:$Y$11,2,FALSE()),"")</f>
        <v/>
      </c>
      <c r="X8" s="11" t="s">
        <v>989</v>
      </c>
      <c r="Y8" s="11" t="n">
        <v>3</v>
      </c>
    </row>
    <row r="9" customFormat="false" ht="63.75" hidden="false" customHeight="true" outlineLevel="0" collapsed="false">
      <c r="A9" s="13" t="n">
        <v>5</v>
      </c>
      <c r="B9" s="13" t="n">
        <f aca="false">INDEX(評価項目対応!$B$6:$B$236,$U9)</f>
        <v>121</v>
      </c>
      <c r="C9" s="13" t="str">
        <f aca="false">INDEX(評価項目対応!$F$6:$F$236,$U9)</f>
        <v>3.08</v>
      </c>
      <c r="D9" s="11" t="str">
        <f aca="false">INDEX(評価項目対応!$D$6:$D$236,$U9)</f>
        <v>資産管理と構成管理</v>
      </c>
      <c r="E9" s="11" t="str">
        <f aca="false">INDEX(評価項目対応!$E$6:$E$236,$U9)</f>
        <v>健康と安全、収益創出、またはその他の重要なサービスにとって最も重要
なデータまたはシステムを把握し、関連する相互依存関係を理解する。</v>
      </c>
      <c r="F9" s="13" t="str">
        <f aca="false">IF($D$4="","",$D$4)</f>
        <v/>
      </c>
      <c r="G9" s="13" t="str">
        <f aca="false">IFERROR(IF(INDEX(評価項目対応!$I$6:$I$236,$U9)="対象","対象",IF(INDEX(評価項目対応!$I$6:$I$236,$U9)="対象外（承認済）","対象外",IF(INDEX(評価項目対応!$I$6:$I$236,$U9)="未確定","n/a",""))),"")</f>
        <v>n/a</v>
      </c>
      <c r="H9" s="25" t="str">
        <f aca="false">IF(ISBLANK(J9),"",IF(J9=5,"Yes",IF(J9=4,"Yes","No")))</f>
        <v/>
      </c>
      <c r="I9" s="18"/>
      <c r="J9" s="26"/>
      <c r="K9" s="18"/>
      <c r="L9" s="18"/>
      <c r="M9" s="11" t="str">
        <f aca="false">IF(INDEX(評価項目対応!$J$6:$J$236,$U9)="","",INDEX(評価項目対応!$J$6:$J$236,$U9))</f>
        <v/>
      </c>
      <c r="N9" s="11" t="str">
        <f aca="false">IF(INDEX(評価項目対応!$N$6:$N$236,$U9)="","",INDEX(評価項目対応!$N$6:$N$236,$U9))</f>
        <v/>
      </c>
      <c r="O9" s="11" t="str">
        <f aca="false">IF(INDEX(評価項目対応!$O$6:$O$236,$U9)="","",INDEX(評価項目対応!$O$6:$O$236,$U9))</f>
        <v/>
      </c>
      <c r="P9" s="27" t="n">
        <f aca="false">COUNTIF(F9:G9,"")+COUNTIF(I9:O9,"")-IF(AND(G9="対象外",K9=""),1,0)</f>
        <v>8</v>
      </c>
      <c r="Q9" s="11" t="str">
        <f aca="false">IF(F9="","会社名コード未設定（D4）",IF(OR(G9="",G9="n/a"),"適用性を確定（評価項目対応I列）",IF(AND(G9="対象外",OR(I9&lt;&gt;"対象外",J9&lt;&gt;"n/a")),"対象外ならR=対象外・S=n/a",IF(AND(G9="対象",OR(I9="対象外",J9="n/a")),"対象なのにR／Sが対象外・n/a",IF(AND(G9="対象",OR(I9="",J9="")),"R・Sを入力",IF(AND(ISNUMBER(J9),ISNUMBER(V9),ABS(N(J9)-N(V9))&gt;=1),"RとSの乖離（案分ならUに明記）",IF(AND(G9="対象",L9=""),"Uに制約・代替策・未検証を記載",IF(AND(G9="対象外",L9=""),"対象外の理由・承認者をUに記載",IF(OR(M9="",N9="",O9=""),"V～Xを入力",IF(P9&gt;0,"未記入あり（P列）","OK"))))))))))</f>
        <v>会社名コード未設定（D4）</v>
      </c>
      <c r="R9" s="11" t="str">
        <f aca="false">IF(INDEX(評価項目対応!$M$6:$M$236,$U9)="","",INDEX(評価項目対応!$M$6:$M$236,$U9))</f>
        <v/>
      </c>
      <c r="S9" s="11" t="str">
        <f aca="false">INDEX(評価項目対応!$H$6:$H$236,$U9)</f>
        <v>重要業務・データ・接続先の依存関係と復旧優先順位を整理する。企業登録のみでは本項目を満たさない。</v>
      </c>
      <c r="T9" s="11" t="str">
        <f aca="false">TRIM(IF(INDEX(評価項目対応!$K$6:$K$236,$U9)="","","試験ID: "&amp;INDEX(評価項目対応!$K$6:$K$236,$U9)&amp;"　")&amp;IF(INDEX(評価項目対応!$L$6:$L$236,$U9)="","","判断理由: "&amp;INDEX(評価項目対応!$L$6:$L$236,$U9)))</f>
        <v/>
      </c>
      <c r="U9" s="28" t="n">
        <f aca="false">MATCH($A9,評価項目対応!$A$6:$A$236,0)</f>
        <v>3</v>
      </c>
      <c r="V9" s="28" t="str">
        <f aca="false">IFERROR(VLOOKUP(I9,$X$6:$Y$11,2,FALSE()),"")</f>
        <v/>
      </c>
      <c r="X9" s="11" t="s">
        <v>996</v>
      </c>
      <c r="Y9" s="11" t="n">
        <v>2</v>
      </c>
    </row>
    <row r="10" customFormat="false" ht="36" hidden="false" customHeight="true" outlineLevel="0" collapsed="false">
      <c r="A10" s="13" t="n">
        <v>6</v>
      </c>
      <c r="B10" s="13" t="n">
        <f aca="false">INDEX(評価項目対応!$B$6:$B$236,$U10)</f>
        <v>122</v>
      </c>
      <c r="C10" s="13" t="str">
        <f aca="false">INDEX(評価項目対応!$F$6:$F$236,$U10)</f>
        <v>3.08</v>
      </c>
      <c r="D10" s="11" t="str">
        <f aca="false">INDEX(評価項目対応!$D$6:$D$236,$U10)</f>
        <v>資産管理と構成管理</v>
      </c>
      <c r="E10" s="11" t="str">
        <f aca="false">INDEX(評価項目対応!$E$6:$E$236,$U10)</f>
        <v>セキュリティ制御または保護措置をクリティカルアセットに適用する。</v>
      </c>
      <c r="F10" s="13" t="str">
        <f aca="false">IF($D$4="","",$D$4)</f>
        <v/>
      </c>
      <c r="G10" s="13" t="str">
        <f aca="false">IFERROR(IF(INDEX(評価項目対応!$I$6:$I$236,$U10)="対象","対象",IF(INDEX(評価項目対応!$I$6:$I$236,$U10)="対象外（承認済）","対象外",IF(INDEX(評価項目対応!$I$6:$I$236,$U10)="未確定","n/a",""))),"")</f>
        <v>n/a</v>
      </c>
      <c r="H10" s="25" t="str">
        <f aca="false">IF(ISBLANK(J10),"",IF(J10=5,"Yes",IF(J10=4,"Yes","No")))</f>
        <v/>
      </c>
      <c r="I10" s="18"/>
      <c r="J10" s="26"/>
      <c r="K10" s="18"/>
      <c r="L10" s="18"/>
      <c r="M10" s="11" t="str">
        <f aca="false">IF(INDEX(評価項目対応!$J$6:$J$236,$U10)="","",INDEX(評価項目対応!$J$6:$J$236,$U10))</f>
        <v/>
      </c>
      <c r="N10" s="11" t="str">
        <f aca="false">IF(INDEX(評価項目対応!$N$6:$N$236,$U10)="","",INDEX(評価項目対応!$N$6:$N$236,$U10))</f>
        <v/>
      </c>
      <c r="O10" s="11" t="str">
        <f aca="false">IF(INDEX(評価項目対応!$O$6:$O$236,$U10)="","",INDEX(評価項目対応!$O$6:$O$236,$U10))</f>
        <v/>
      </c>
      <c r="P10" s="27" t="n">
        <f aca="false">COUNTIF(F10:G10,"")+COUNTIF(I10:O10,"")-IF(AND(G10="対象外",K10=""),1,0)</f>
        <v>8</v>
      </c>
      <c r="Q10" s="11" t="str">
        <f aca="false">IF(F10="","会社名コード未設定（D4）",IF(OR(G10="",G10="n/a"),"適用性を確定（評価項目対応I列）",IF(AND(G10="対象外",OR(I10&lt;&gt;"対象外",J10&lt;&gt;"n/a")),"対象外ならR=対象外・S=n/a",IF(AND(G10="対象",OR(I10="対象外",J10="n/a")),"対象なのにR／Sが対象外・n/a",IF(AND(G10="対象",OR(I10="",J10="")),"R・Sを入力",IF(AND(ISNUMBER(J10),ISNUMBER(V10),ABS(N(J10)-N(V10))&gt;=1),"RとSの乖離（案分ならUに明記）",IF(AND(G10="対象",L10=""),"Uに制約・代替策・未検証を記載",IF(AND(G10="対象外",L10=""),"対象外の理由・承認者をUに記載",IF(OR(M10="",N10="",O10=""),"V～Xを入力",IF(P10&gt;0,"未記入あり（P列）","OK"))))))))))</f>
        <v>会社名コード未設定（D4）</v>
      </c>
      <c r="R10" s="11" t="str">
        <f aca="false">IF(INDEX(評価項目対応!$M$6:$M$236,$U10)="","",INDEX(評価項目対応!$M$6:$M$236,$U10))</f>
        <v/>
      </c>
      <c r="S10" s="11" t="str">
        <f aca="false">INDEX(評価項目対応!$H$6:$H$236,$U10)</f>
        <v>端末登録に加え、アプリ・データ・重要業務・依存関係・台帳保護を確認する。</v>
      </c>
      <c r="T10" s="11" t="str">
        <f aca="false">TRIM(IF(INDEX(評価項目対応!$K$6:$K$236,$U10)="","","試験ID: "&amp;INDEX(評価項目対応!$K$6:$K$236,$U10)&amp;"　")&amp;IF(INDEX(評価項目対応!$L$6:$L$236,$U10)="","","判断理由: "&amp;INDEX(評価項目対応!$L$6:$L$236,$U10)))</f>
        <v/>
      </c>
      <c r="U10" s="28" t="n">
        <f aca="false">MATCH($A10,評価項目対応!$A$6:$A$236,0)</f>
        <v>4</v>
      </c>
      <c r="V10" s="28" t="str">
        <f aca="false">IFERROR(VLOOKUP(I10,$X$6:$Y$11,2,FALSE()),"")</f>
        <v/>
      </c>
      <c r="X10" s="11" t="s">
        <v>997</v>
      </c>
      <c r="Y10" s="11" t="n">
        <v>1</v>
      </c>
    </row>
    <row r="11" customFormat="false" ht="63.75" hidden="false" customHeight="true" outlineLevel="0" collapsed="false">
      <c r="A11" s="13" t="n">
        <v>7</v>
      </c>
      <c r="B11" s="13" t="n">
        <f aca="false">INDEX(評価項目対応!$B$6:$B$236,$U11)</f>
        <v>153</v>
      </c>
      <c r="C11" s="13" t="str">
        <f aca="false">INDEX(評価項目対応!$F$6:$F$236,$U11)</f>
        <v>4.04a</v>
      </c>
      <c r="D11" s="11" t="str">
        <f aca="false">INDEX(評価項目対応!$D$6:$D$236,$U11)</f>
        <v>データセンター管理</v>
      </c>
      <c r="E11" s="11" t="str">
        <f aca="false">INDEX(評価項目対応!$E$6:$E$236,$U11)</f>
        <v>データセンターが定期的にパッチが適用されていることを確認する。重大
な脆弱性のパッチは、できるだけ早く適用する。</v>
      </c>
      <c r="F11" s="13" t="str">
        <f aca="false">IF($D$4="","",$D$4)</f>
        <v/>
      </c>
      <c r="G11" s="13" t="str">
        <f aca="false">IFERROR(IF(INDEX(評価項目対応!$I$6:$I$236,$U11)="対象","対象",IF(INDEX(評価項目対応!$I$6:$I$236,$U11)="対象外（承認済）","対象外",IF(INDEX(評価項目対応!$I$6:$I$236,$U11)="未確定","n/a",""))),"")</f>
        <v>n/a</v>
      </c>
      <c r="H11" s="25" t="str">
        <f aca="false">IF(ISBLANK(J11),"",IF(J11=5,"Yes",IF(J11=4,"Yes","No")))</f>
        <v/>
      </c>
      <c r="I11" s="18"/>
      <c r="J11" s="26"/>
      <c r="K11" s="18"/>
      <c r="L11" s="18"/>
      <c r="M11" s="11" t="str">
        <f aca="false">IF(INDEX(評価項目対応!$J$6:$J$236,$U11)="","",INDEX(評価項目対応!$J$6:$J$236,$U11))</f>
        <v/>
      </c>
      <c r="N11" s="11" t="str">
        <f aca="false">IF(INDEX(評価項目対応!$N$6:$N$236,$U11)="","",INDEX(評価項目対応!$N$6:$N$236,$U11))</f>
        <v/>
      </c>
      <c r="O11" s="11" t="str">
        <f aca="false">IF(INDEX(評価項目対応!$O$6:$O$236,$U11)="","",INDEX(評価項目対応!$O$6:$O$236,$U11))</f>
        <v/>
      </c>
      <c r="P11" s="27" t="n">
        <f aca="false">COUNTIF(F11:G11,"")+COUNTIF(I11:O11,"")-IF(AND(G11="対象外",K11=""),1,0)</f>
        <v>8</v>
      </c>
      <c r="Q11" s="11" t="str">
        <f aca="false">IF(F11="","会社名コード未設定（D4）",IF(OR(G11="",G11="n/a"),"適用性を確定（評価項目対応I列）",IF(AND(G11="対象外",OR(I11&lt;&gt;"対象外",J11&lt;&gt;"n/a")),"対象外ならR=対象外・S=n/a",IF(AND(G11="対象",OR(I11="対象外",J11="n/a")),"対象なのにR／Sが対象外・n/a",IF(AND(G11="対象",OR(I11="",J11="")),"R・Sを入力",IF(AND(ISNUMBER(J11),ISNUMBER(V11),ABS(N(J11)-N(V11))&gt;=1),"RとSの乖離（案分ならUに明記）",IF(AND(G11="対象",L11=""),"Uに制約・代替策・未検証を記載",IF(AND(G11="対象外",L11=""),"対象外の理由・承認者をUに記載",IF(OR(M11="",N11="",O11=""),"V～Xを入力",IF(P11&gt;0,"未記入あり（P列）","OK"))))))))))</f>
        <v>会社名コード未設定（D4）</v>
      </c>
      <c r="R11" s="11" t="str">
        <f aca="false">IF(INDEX(評価項目対応!$M$6:$M$236,$U11)="","",INDEX(評価項目対応!$M$6:$M$236,$U11))</f>
        <v/>
      </c>
      <c r="S11" s="11" t="str">
        <f aca="false">INDEX(評価項目対応!$H$6:$H$236,$U11)</f>
        <v>原票の「データセンター」表記は原文のDC（Domain Controller）の訳。ADドメインコントローラーの設定・パッチ・監視の既存証跡を担当者から受領する。ChromeOS利用だけで対象外にしない。</v>
      </c>
      <c r="T11" s="11" t="str">
        <f aca="false">TRIM(IF(INDEX(評価項目対応!$K$6:$K$236,$U11)="","","試験ID: "&amp;INDEX(評価項目対応!$K$6:$K$236,$U11)&amp;"　")&amp;IF(INDEX(評価項目対応!$L$6:$L$236,$U11)="","","判断理由: "&amp;INDEX(評価項目対応!$L$6:$L$236,$U11)))</f>
        <v/>
      </c>
      <c r="U11" s="28" t="n">
        <f aca="false">MATCH($A11,評価項目対応!$A$6:$A$236,0)</f>
        <v>5</v>
      </c>
      <c r="V11" s="28" t="str">
        <f aca="false">IFERROR(VLOOKUP(I11,$X$6:$Y$11,2,FALSE()),"")</f>
        <v/>
      </c>
      <c r="X11" s="11" t="s">
        <v>998</v>
      </c>
      <c r="Y11" s="11" t="s">
        <v>999</v>
      </c>
    </row>
    <row r="12" customFormat="false" ht="49.5" hidden="false" customHeight="true" outlineLevel="0" collapsed="false">
      <c r="A12" s="13" t="n">
        <v>8</v>
      </c>
      <c r="B12" s="13" t="n">
        <f aca="false">INDEX(評価項目対応!$B$6:$B$236,$U12)</f>
        <v>36</v>
      </c>
      <c r="C12" s="13" t="str">
        <f aca="false">INDEX(評価項目対応!$F$6:$F$236,$U12)</f>
        <v>1.02</v>
      </c>
      <c r="D12" s="11" t="str">
        <f aca="false">INDEX(評価項目対応!$D$6:$D$236,$U12)</f>
        <v>IaCの利用と管理</v>
      </c>
      <c r="E12" s="11" t="str">
        <f aca="false">INDEX(評価項目対応!$E$6:$E$236,$U12)</f>
        <v>IaCテンプレートを展開する前に、静的セキュリティスキャンツールでテ
ストする。</v>
      </c>
      <c r="F12" s="13" t="str">
        <f aca="false">IF($D$4="","",$D$4)</f>
        <v/>
      </c>
      <c r="G12" s="13" t="str">
        <f aca="false">IFERROR(IF(INDEX(評価項目対応!$I$6:$I$236,$U12)="対象","対象",IF(INDEX(評価項目対応!$I$6:$I$236,$U12)="対象外（承認済）","対象外",IF(INDEX(評価項目対応!$I$6:$I$236,$U12)="未確定","n/a",""))),"")</f>
        <v>n/a</v>
      </c>
      <c r="H12" s="25" t="str">
        <f aca="false">IF(ISBLANK(J12),"",IF(J12=5,"Yes",IF(J12=4,"Yes","No")))</f>
        <v/>
      </c>
      <c r="I12" s="18"/>
      <c r="J12" s="26"/>
      <c r="K12" s="18"/>
      <c r="L12" s="18"/>
      <c r="M12" s="11" t="str">
        <f aca="false">IF(INDEX(評価項目対応!$J$6:$J$236,$U12)="","",INDEX(評価項目対応!$J$6:$J$236,$U12))</f>
        <v/>
      </c>
      <c r="N12" s="11" t="str">
        <f aca="false">IF(INDEX(評価項目対応!$N$6:$N$236,$U12)="","",INDEX(評価項目対応!$N$6:$N$236,$U12))</f>
        <v/>
      </c>
      <c r="O12" s="11" t="str">
        <f aca="false">IF(INDEX(評価項目対応!$O$6:$O$236,$U12)="","",INDEX(評価項目対応!$O$6:$O$236,$U12))</f>
        <v/>
      </c>
      <c r="P12" s="27" t="n">
        <f aca="false">COUNTIF(F12:G12,"")+COUNTIF(I12:O12,"")-IF(AND(G12="対象外",K12=""),1,0)</f>
        <v>8</v>
      </c>
      <c r="Q12" s="11" t="str">
        <f aca="false">IF(F12="","会社名コード未設定（D4）",IF(OR(G12="",G12="n/a"),"適用性を確定（評価項目対応I列）",IF(AND(G12="対象外",OR(I12&lt;&gt;"対象外",J12&lt;&gt;"n/a")),"対象外ならR=対象外・S=n/a",IF(AND(G12="対象",OR(I12="対象外",J12="n/a")),"対象なのにR／Sが対象外・n/a",IF(AND(G12="対象",OR(I12="",J12="")),"R・Sを入力",IF(AND(ISNUMBER(J12),ISNUMBER(V12),ABS(N(J12)-N(V12))&gt;=1),"RとSの乖離（案分ならUに明記）",IF(AND(G12="対象",L12=""),"Uに制約・代替策・未検証を記載",IF(AND(G12="対象外",L12=""),"対象外の理由・承認者をUに記載",IF(OR(M12="",N12="",O12=""),"V～Xを入力",IF(P12&gt;0,"未記入あり（P列）","OK"))))))))))</f>
        <v>会社名コード未設定（D4）</v>
      </c>
      <c r="R12" s="11" t="str">
        <f aca="false">IF(INDEX(評価項目対応!$M$6:$M$236,$U12)="","",INDEX(評価項目対応!$M$6:$M$236,$U12))</f>
        <v/>
      </c>
      <c r="S12" s="11" t="str">
        <f aca="false">INDEX(評価項目対応!$H$6:$H$236,$U12)</f>
        <v>IaC利用の有無を関連クラウドも含めて確認する。未使用なら範囲と理由を記載する。</v>
      </c>
      <c r="T12" s="11" t="str">
        <f aca="false">TRIM(IF(INDEX(評価項目対応!$K$6:$K$236,$U12)="","","試験ID: "&amp;INDEX(評価項目対応!$K$6:$K$236,$U12)&amp;"　")&amp;IF(INDEX(評価項目対応!$L$6:$L$236,$U12)="","","判断理由: "&amp;INDEX(評価項目対応!$L$6:$L$236,$U12)))</f>
        <v/>
      </c>
      <c r="U12" s="28" t="n">
        <f aca="false">MATCH($A12,評価項目対応!$A$6:$A$236,0)</f>
        <v>6</v>
      </c>
      <c r="V12" s="28" t="str">
        <f aca="false">IFERROR(VLOOKUP(I12,$X$6:$Y$11,2,FALSE()),"")</f>
        <v/>
      </c>
    </row>
    <row r="13" customFormat="false" ht="49.5" hidden="false" customHeight="true" outlineLevel="0" collapsed="false">
      <c r="A13" s="13" t="n">
        <v>9</v>
      </c>
      <c r="B13" s="13" t="n">
        <f aca="false">INDEX(評価項目対応!$B$6:$B$236,$U13)</f>
        <v>37</v>
      </c>
      <c r="C13" s="13" t="str">
        <f aca="false">INDEX(評価項目対応!$F$6:$F$236,$U13)</f>
        <v>1.02</v>
      </c>
      <c r="D13" s="11" t="str">
        <f aca="false">INDEX(評価項目対応!$D$6:$D$236,$U13)</f>
        <v>IaCの利用と管理</v>
      </c>
      <c r="E13" s="11" t="str">
        <f aca="false">INDEX(評価項目対応!$E$6:$E$236,$U13)</f>
        <v>静的セキュリティスキャンツールで設定ミスとセキュリティギャップを特
定する。</v>
      </c>
      <c r="F13" s="13" t="str">
        <f aca="false">IF($D$4="","",$D$4)</f>
        <v/>
      </c>
      <c r="G13" s="13" t="str">
        <f aca="false">IFERROR(IF(INDEX(評価項目対応!$I$6:$I$236,$U13)="対象","対象",IF(INDEX(評価項目対応!$I$6:$I$236,$U13)="対象外（承認済）","対象外",IF(INDEX(評価項目対応!$I$6:$I$236,$U13)="未確定","n/a",""))),"")</f>
        <v>n/a</v>
      </c>
      <c r="H13" s="25" t="str">
        <f aca="false">IF(ISBLANK(J13),"",IF(J13=5,"Yes",IF(J13=4,"Yes","No")))</f>
        <v/>
      </c>
      <c r="I13" s="18"/>
      <c r="J13" s="26"/>
      <c r="K13" s="18"/>
      <c r="L13" s="18"/>
      <c r="M13" s="11" t="str">
        <f aca="false">IF(INDEX(評価項目対応!$J$6:$J$236,$U13)="","",INDEX(評価項目対応!$J$6:$J$236,$U13))</f>
        <v/>
      </c>
      <c r="N13" s="11" t="str">
        <f aca="false">IF(INDEX(評価項目対応!$N$6:$N$236,$U13)="","",INDEX(評価項目対応!$N$6:$N$236,$U13))</f>
        <v/>
      </c>
      <c r="O13" s="11" t="str">
        <f aca="false">IF(INDEX(評価項目対応!$O$6:$O$236,$U13)="","",INDEX(評価項目対応!$O$6:$O$236,$U13))</f>
        <v/>
      </c>
      <c r="P13" s="27" t="n">
        <f aca="false">COUNTIF(F13:G13,"")+COUNTIF(I13:O13,"")-IF(AND(G13="対象外",K13=""),1,0)</f>
        <v>8</v>
      </c>
      <c r="Q13" s="11" t="str">
        <f aca="false">IF(F13="","会社名コード未設定（D4）",IF(OR(G13="",G13="n/a"),"適用性を確定（評価項目対応I列）",IF(AND(G13="対象外",OR(I13&lt;&gt;"対象外",J13&lt;&gt;"n/a")),"対象外ならR=対象外・S=n/a",IF(AND(G13="対象",OR(I13="対象外",J13="n/a")),"対象なのにR／Sが対象外・n/a",IF(AND(G13="対象",OR(I13="",J13="")),"R・Sを入力",IF(AND(ISNUMBER(J13),ISNUMBER(V13),ABS(N(J13)-N(V13))&gt;=1),"RとSの乖離（案分ならUに明記）",IF(AND(G13="対象",L13=""),"Uに制約・代替策・未検証を記載",IF(AND(G13="対象外",L13=""),"対象外の理由・承認者をUに記載",IF(OR(M13="",N13="",O13=""),"V～Xを入力",IF(P13&gt;0,"未記入あり（P列）","OK"))))))))))</f>
        <v>会社名コード未設定（D4）</v>
      </c>
      <c r="R13" s="11" t="str">
        <f aca="false">IF(INDEX(評価項目対応!$M$6:$M$236,$U13)="","",INDEX(評価項目対応!$M$6:$M$236,$U13))</f>
        <v/>
      </c>
      <c r="S13" s="11" t="str">
        <f aca="false">INDEX(評価項目対応!$H$6:$H$236,$U13)</f>
        <v>IaC利用の有無を関連クラウドも含めて確認する。未使用なら範囲と理由を記載する。</v>
      </c>
      <c r="T13" s="11" t="str">
        <f aca="false">TRIM(IF(INDEX(評価項目対応!$K$6:$K$236,$U13)="","","試験ID: "&amp;INDEX(評価項目対応!$K$6:$K$236,$U13)&amp;"　")&amp;IF(INDEX(評価項目対応!$L$6:$L$236,$U13)="","","判断理由: "&amp;INDEX(評価項目対応!$L$6:$L$236,$U13)))</f>
        <v/>
      </c>
      <c r="U13" s="28" t="n">
        <f aca="false">MATCH($A13,評価項目対応!$A$6:$A$236,0)</f>
        <v>7</v>
      </c>
      <c r="V13" s="28" t="str">
        <f aca="false">IFERROR(VLOOKUP(I13,$X$6:$Y$11,2,FALSE()),"")</f>
        <v/>
      </c>
    </row>
    <row r="14" customFormat="false" ht="49.5" hidden="false" customHeight="true" outlineLevel="0" collapsed="false">
      <c r="A14" s="13" t="n">
        <v>10</v>
      </c>
      <c r="B14" s="13" t="n">
        <f aca="false">INDEX(評価項目対応!$B$6:$B$236,$U14)</f>
        <v>4</v>
      </c>
      <c r="C14" s="13" t="str">
        <f aca="false">INDEX(評価項目対応!$F$6:$F$236,$U14)</f>
        <v>1.02</v>
      </c>
      <c r="D14" s="11" t="str">
        <f aca="false">INDEX(評価項目対応!$D$6:$D$236,$U14)</f>
        <v>IaCの利用と管理</v>
      </c>
      <c r="E14" s="11" t="str">
        <f aca="false">INDEX(評価項目対応!$E$6:$E$236,$U14)</f>
        <v>インフラストラクチャをコード（IaC）を使用してクラウドリソースを展
開および更新する。</v>
      </c>
      <c r="F14" s="13" t="str">
        <f aca="false">IF($D$4="","",$D$4)</f>
        <v/>
      </c>
      <c r="G14" s="13" t="str">
        <f aca="false">IFERROR(IF(INDEX(評価項目対応!$I$6:$I$236,$U14)="対象","対象",IF(INDEX(評価項目対応!$I$6:$I$236,$U14)="対象外（承認済）","対象外",IF(INDEX(評価項目対応!$I$6:$I$236,$U14)="未確定","n/a",""))),"")</f>
        <v>n/a</v>
      </c>
      <c r="H14" s="25" t="str">
        <f aca="false">IF(ISBLANK(J14),"",IF(J14=5,"Yes",IF(J14=4,"Yes","No")))</f>
        <v/>
      </c>
      <c r="I14" s="18"/>
      <c r="J14" s="26"/>
      <c r="K14" s="18"/>
      <c r="L14" s="18"/>
      <c r="M14" s="11" t="str">
        <f aca="false">IF(INDEX(評価項目対応!$J$6:$J$236,$U14)="","",INDEX(評価項目対応!$J$6:$J$236,$U14))</f>
        <v/>
      </c>
      <c r="N14" s="11" t="str">
        <f aca="false">IF(INDEX(評価項目対応!$N$6:$N$236,$U14)="","",INDEX(評価項目対応!$N$6:$N$236,$U14))</f>
        <v/>
      </c>
      <c r="O14" s="11" t="str">
        <f aca="false">IF(INDEX(評価項目対応!$O$6:$O$236,$U14)="","",INDEX(評価項目対応!$O$6:$O$236,$U14))</f>
        <v/>
      </c>
      <c r="P14" s="27" t="n">
        <f aca="false">COUNTIF(F14:G14,"")+COUNTIF(I14:O14,"")-IF(AND(G14="対象外",K14=""),1,0)</f>
        <v>8</v>
      </c>
      <c r="Q14" s="11" t="str">
        <f aca="false">IF(F14="","会社名コード未設定（D4）",IF(OR(G14="",G14="n/a"),"適用性を確定（評価項目対応I列）",IF(AND(G14="対象外",OR(I14&lt;&gt;"対象外",J14&lt;&gt;"n/a")),"対象外ならR=対象外・S=n/a",IF(AND(G14="対象",OR(I14="対象外",J14="n/a")),"対象なのにR／Sが対象外・n/a",IF(AND(G14="対象",OR(I14="",J14="")),"R・Sを入力",IF(AND(ISNUMBER(J14),ISNUMBER(V14),ABS(N(J14)-N(V14))&gt;=1),"RとSの乖離（案分ならUに明記）",IF(AND(G14="対象",L14=""),"Uに制約・代替策・未検証を記載",IF(AND(G14="対象外",L14=""),"対象外の理由・承認者をUに記載",IF(OR(M14="",N14="",O14=""),"V～Xを入力",IF(P14&gt;0,"未記入あり（P列）","OK"))))))))))</f>
        <v>会社名コード未設定（D4）</v>
      </c>
      <c r="R14" s="11" t="str">
        <f aca="false">IF(INDEX(評価項目対応!$M$6:$M$236,$U14)="","",INDEX(評価項目対応!$M$6:$M$236,$U14))</f>
        <v/>
      </c>
      <c r="S14" s="11" t="str">
        <f aca="false">INDEX(評価項目対応!$H$6:$H$236,$U14)</f>
        <v>IaC利用の有無を関連クラウドも含めて確認する。未使用なら範囲と理由を記載する。</v>
      </c>
      <c r="T14" s="11" t="str">
        <f aca="false">TRIM(IF(INDEX(評価項目対応!$K$6:$K$236,$U14)="","","試験ID: "&amp;INDEX(評価項目対応!$K$6:$K$236,$U14)&amp;"　")&amp;IF(INDEX(評価項目対応!$L$6:$L$236,$U14)="","","判断理由: "&amp;INDEX(評価項目対応!$L$6:$L$236,$U14)))</f>
        <v/>
      </c>
      <c r="U14" s="28" t="n">
        <f aca="false">MATCH($A14,評価項目対応!$A$6:$A$236,0)</f>
        <v>8</v>
      </c>
      <c r="V14" s="28" t="str">
        <f aca="false">IFERROR(VLOOKUP(I14,$X$6:$Y$11,2,FALSE()),"")</f>
        <v/>
      </c>
    </row>
    <row r="15" customFormat="false" ht="36" hidden="false" customHeight="true" outlineLevel="0" collapsed="false">
      <c r="A15" s="13" t="n">
        <v>11</v>
      </c>
      <c r="B15" s="13" t="n">
        <f aca="false">INDEX(評価項目対応!$B$6:$B$236,$U15)</f>
        <v>5</v>
      </c>
      <c r="C15" s="13" t="str">
        <f aca="false">INDEX(評価項目対応!$F$6:$F$236,$U15)</f>
        <v>1.02</v>
      </c>
      <c r="D15" s="11" t="str">
        <f aca="false">INDEX(評価項目対応!$D$6:$D$236,$U15)</f>
        <v>IaCの利用と管理</v>
      </c>
      <c r="E15" s="11" t="str">
        <f aca="false">INDEX(評価項目対応!$E$6:$E$236,$U15)</f>
        <v>IaCのテンプレートファイルのバックアップをオフラインで保管する。</v>
      </c>
      <c r="F15" s="13" t="str">
        <f aca="false">IF($D$4="","",$D$4)</f>
        <v/>
      </c>
      <c r="G15" s="13" t="str">
        <f aca="false">IFERROR(IF(INDEX(評価項目対応!$I$6:$I$236,$U15)="対象","対象",IF(INDEX(評価項目対応!$I$6:$I$236,$U15)="対象外（承認済）","対象外",IF(INDEX(評価項目対応!$I$6:$I$236,$U15)="未確定","n/a",""))),"")</f>
        <v>n/a</v>
      </c>
      <c r="H15" s="25" t="str">
        <f aca="false">IF(ISBLANK(J15),"",IF(J15=5,"Yes",IF(J15=4,"Yes","No")))</f>
        <v/>
      </c>
      <c r="I15" s="18"/>
      <c r="J15" s="26"/>
      <c r="K15" s="18"/>
      <c r="L15" s="18"/>
      <c r="M15" s="11" t="str">
        <f aca="false">IF(INDEX(評価項目対応!$J$6:$J$236,$U15)="","",INDEX(評価項目対応!$J$6:$J$236,$U15))</f>
        <v/>
      </c>
      <c r="N15" s="11" t="str">
        <f aca="false">IF(INDEX(評価項目対応!$N$6:$N$236,$U15)="","",INDEX(評価項目対応!$N$6:$N$236,$U15))</f>
        <v/>
      </c>
      <c r="O15" s="11" t="str">
        <f aca="false">IF(INDEX(評価項目対応!$O$6:$O$236,$U15)="","",INDEX(評価項目対応!$O$6:$O$236,$U15))</f>
        <v/>
      </c>
      <c r="P15" s="27" t="n">
        <f aca="false">COUNTIF(F15:G15,"")+COUNTIF(I15:O15,"")-IF(AND(G15="対象外",K15=""),1,0)</f>
        <v>8</v>
      </c>
      <c r="Q15" s="11" t="str">
        <f aca="false">IF(F15="","会社名コード未設定（D4）",IF(OR(G15="",G15="n/a"),"適用性を確定（評価項目対応I列）",IF(AND(G15="対象外",OR(I15&lt;&gt;"対象外",J15&lt;&gt;"n/a")),"対象外ならR=対象外・S=n/a",IF(AND(G15="対象",OR(I15="対象外",J15="n/a")),"対象なのにR／Sが対象外・n/a",IF(AND(G15="対象",OR(I15="",J15="")),"R・Sを入力",IF(AND(ISNUMBER(J15),ISNUMBER(V15),ABS(N(J15)-N(V15))&gt;=1),"RとSの乖離（案分ならUに明記）",IF(AND(G15="対象",L15=""),"Uに制約・代替策・未検証を記載",IF(AND(G15="対象外",L15=""),"対象外の理由・承認者をUに記載",IF(OR(M15="",N15="",O15=""),"V～Xを入力",IF(P15&gt;0,"未記入あり（P列）","OK"))))))))))</f>
        <v>会社名コード未設定（D4）</v>
      </c>
      <c r="R15" s="11" t="str">
        <f aca="false">IF(INDEX(評価項目対応!$M$6:$M$236,$U15)="","",INDEX(評価項目対応!$M$6:$M$236,$U15))</f>
        <v/>
      </c>
      <c r="S15" s="11" t="str">
        <f aca="false">INDEX(評価項目対応!$H$6:$H$236,$U15)</f>
        <v>IaC利用の有無を関連クラウドも含めて確認する。未使用なら範囲と理由を記載する。</v>
      </c>
      <c r="T15" s="11" t="str">
        <f aca="false">TRIM(IF(INDEX(評価項目対応!$K$6:$K$236,$U15)="","","試験ID: "&amp;INDEX(評価項目対応!$K$6:$K$236,$U15)&amp;"　")&amp;IF(INDEX(評価項目対応!$L$6:$L$236,$U15)="","","判断理由: "&amp;INDEX(評価項目対応!$L$6:$L$236,$U15)))</f>
        <v/>
      </c>
      <c r="U15" s="28" t="n">
        <f aca="false">MATCH($A15,評価項目対応!$A$6:$A$236,0)</f>
        <v>9</v>
      </c>
      <c r="V15" s="28" t="str">
        <f aca="false">IFERROR(VLOOKUP(I15,$X$6:$Y$11,2,FALSE()),"")</f>
        <v/>
      </c>
    </row>
    <row r="16" customFormat="false" ht="36" hidden="false" customHeight="true" outlineLevel="0" collapsed="false">
      <c r="A16" s="13" t="n">
        <v>12</v>
      </c>
      <c r="B16" s="13" t="n">
        <f aca="false">INDEX(評価項目対応!$B$6:$B$236,$U16)</f>
        <v>6</v>
      </c>
      <c r="C16" s="13" t="str">
        <f aca="false">INDEX(評価項目対応!$F$6:$F$236,$U16)</f>
        <v>1.02</v>
      </c>
      <c r="D16" s="11" t="str">
        <f aca="false">INDEX(評価項目対応!$D$6:$D$236,$U16)</f>
        <v>IaCの利用と管理</v>
      </c>
      <c r="E16" s="11" t="str">
        <f aca="false">INDEX(評価項目対応!$E$6:$E$236,$U16)</f>
        <v>ヒューマンエラーの削減のためのIaCコードはバージョン管理する。</v>
      </c>
      <c r="F16" s="13" t="str">
        <f aca="false">IF($D$4="","",$D$4)</f>
        <v/>
      </c>
      <c r="G16" s="13" t="str">
        <f aca="false">IFERROR(IF(INDEX(評価項目対応!$I$6:$I$236,$U16)="対象","対象",IF(INDEX(評価項目対応!$I$6:$I$236,$U16)="対象外（承認済）","対象外",IF(INDEX(評価項目対応!$I$6:$I$236,$U16)="未確定","n/a",""))),"")</f>
        <v>n/a</v>
      </c>
      <c r="H16" s="25" t="str">
        <f aca="false">IF(ISBLANK(J16),"",IF(J16=5,"Yes",IF(J16=4,"Yes","No")))</f>
        <v/>
      </c>
      <c r="I16" s="18"/>
      <c r="J16" s="26"/>
      <c r="K16" s="18"/>
      <c r="L16" s="18"/>
      <c r="M16" s="11" t="str">
        <f aca="false">IF(INDEX(評価項目対応!$J$6:$J$236,$U16)="","",INDEX(評価項目対応!$J$6:$J$236,$U16))</f>
        <v/>
      </c>
      <c r="N16" s="11" t="str">
        <f aca="false">IF(INDEX(評価項目対応!$N$6:$N$236,$U16)="","",INDEX(評価項目対応!$N$6:$N$236,$U16))</f>
        <v/>
      </c>
      <c r="O16" s="11" t="str">
        <f aca="false">IF(INDEX(評価項目対応!$O$6:$O$236,$U16)="","",INDEX(評価項目対応!$O$6:$O$236,$U16))</f>
        <v/>
      </c>
      <c r="P16" s="27" t="n">
        <f aca="false">COUNTIF(F16:G16,"")+COUNTIF(I16:O16,"")-IF(AND(G16="対象外",K16=""),1,0)</f>
        <v>8</v>
      </c>
      <c r="Q16" s="11" t="str">
        <f aca="false">IF(F16="","会社名コード未設定（D4）",IF(OR(G16="",G16="n/a"),"適用性を確定（評価項目対応I列）",IF(AND(G16="対象外",OR(I16&lt;&gt;"対象外",J16&lt;&gt;"n/a")),"対象外ならR=対象外・S=n/a",IF(AND(G16="対象",OR(I16="対象外",J16="n/a")),"対象なのにR／Sが対象外・n/a",IF(AND(G16="対象",OR(I16="",J16="")),"R・Sを入力",IF(AND(ISNUMBER(J16),ISNUMBER(V16),ABS(N(J16)-N(V16))&gt;=1),"RとSの乖離（案分ならUに明記）",IF(AND(G16="対象",L16=""),"Uに制約・代替策・未検証を記載",IF(AND(G16="対象外",L16=""),"対象外の理由・承認者をUに記載",IF(OR(M16="",N16="",O16=""),"V～Xを入力",IF(P16&gt;0,"未記入あり（P列）","OK"))))))))))</f>
        <v>会社名コード未設定（D4）</v>
      </c>
      <c r="R16" s="11" t="str">
        <f aca="false">IF(INDEX(評価項目対応!$M$6:$M$236,$U16)="","",INDEX(評価項目対応!$M$6:$M$236,$U16))</f>
        <v/>
      </c>
      <c r="S16" s="11" t="str">
        <f aca="false">INDEX(評価項目対応!$H$6:$H$236,$U16)</f>
        <v>IaC利用の有無を関連クラウドも含めて確認する。未使用なら範囲と理由を記載する。</v>
      </c>
      <c r="T16" s="11" t="str">
        <f aca="false">TRIM(IF(INDEX(評価項目対応!$K$6:$K$236,$U16)="","","試験ID: "&amp;INDEX(評価項目対応!$K$6:$K$236,$U16)&amp;"　")&amp;IF(INDEX(評価項目対応!$L$6:$L$236,$U16)="","","判断理由: "&amp;INDEX(評価項目対応!$L$6:$L$236,$U16)))</f>
        <v/>
      </c>
      <c r="U16" s="28" t="n">
        <f aca="false">MATCH($A16,評価項目対応!$A$6:$A$236,0)</f>
        <v>10</v>
      </c>
      <c r="V16" s="28" t="str">
        <f aca="false">IFERROR(VLOOKUP(I16,$X$6:$Y$11,2,FALSE()),"")</f>
        <v/>
      </c>
    </row>
    <row r="17" customFormat="false" ht="36" hidden="false" customHeight="true" outlineLevel="0" collapsed="false">
      <c r="A17" s="13" t="n">
        <v>13</v>
      </c>
      <c r="B17" s="13" t="n">
        <f aca="false">INDEX(評価項目対応!$B$6:$B$236,$U17)</f>
        <v>7</v>
      </c>
      <c r="C17" s="13" t="str">
        <f aca="false">INDEX(評価項目対応!$F$6:$F$236,$U17)</f>
        <v>1.02</v>
      </c>
      <c r="D17" s="11" t="str">
        <f aca="false">INDEX(評価項目対応!$D$6:$D$236,$U17)</f>
        <v>IaCの利用と管理</v>
      </c>
      <c r="E17" s="11" t="str">
        <f aca="false">INDEX(評価項目対応!$E$6:$E$236,$U17)</f>
        <v>IaCのテンプレートへの変更を監査する。</v>
      </c>
      <c r="F17" s="13" t="str">
        <f aca="false">IF($D$4="","",$D$4)</f>
        <v/>
      </c>
      <c r="G17" s="13" t="str">
        <f aca="false">IFERROR(IF(INDEX(評価項目対応!$I$6:$I$236,$U17)="対象","対象",IF(INDEX(評価項目対応!$I$6:$I$236,$U17)="対象外（承認済）","対象外",IF(INDEX(評価項目対応!$I$6:$I$236,$U17)="未確定","n/a",""))),"")</f>
        <v>n/a</v>
      </c>
      <c r="H17" s="25" t="str">
        <f aca="false">IF(ISBLANK(J17),"",IF(J17=5,"Yes",IF(J17=4,"Yes","No")))</f>
        <v/>
      </c>
      <c r="I17" s="18"/>
      <c r="J17" s="26"/>
      <c r="K17" s="18"/>
      <c r="L17" s="18"/>
      <c r="M17" s="11" t="str">
        <f aca="false">IF(INDEX(評価項目対応!$J$6:$J$236,$U17)="","",INDEX(評価項目対応!$J$6:$J$236,$U17))</f>
        <v/>
      </c>
      <c r="N17" s="11" t="str">
        <f aca="false">IF(INDEX(評価項目対応!$N$6:$N$236,$U17)="","",INDEX(評価項目対応!$N$6:$N$236,$U17))</f>
        <v/>
      </c>
      <c r="O17" s="11" t="str">
        <f aca="false">IF(INDEX(評価項目対応!$O$6:$O$236,$U17)="","",INDEX(評価項目対応!$O$6:$O$236,$U17))</f>
        <v/>
      </c>
      <c r="P17" s="27" t="n">
        <f aca="false">COUNTIF(F17:G17,"")+COUNTIF(I17:O17,"")-IF(AND(G17="対象外",K17=""),1,0)</f>
        <v>8</v>
      </c>
      <c r="Q17" s="11" t="str">
        <f aca="false">IF(F17="","会社名コード未設定（D4）",IF(OR(G17="",G17="n/a"),"適用性を確定（評価項目対応I列）",IF(AND(G17="対象外",OR(I17&lt;&gt;"対象外",J17&lt;&gt;"n/a")),"対象外ならR=対象外・S=n/a",IF(AND(G17="対象",OR(I17="対象外",J17="n/a")),"対象なのにR／Sが対象外・n/a",IF(AND(G17="対象",OR(I17="",J17="")),"R・Sを入力",IF(AND(ISNUMBER(J17),ISNUMBER(V17),ABS(N(J17)-N(V17))&gt;=1),"RとSの乖離（案分ならUに明記）",IF(AND(G17="対象",L17=""),"Uに制約・代替策・未検証を記載",IF(AND(G17="対象外",L17=""),"対象外の理由・承認者をUに記載",IF(OR(M17="",N17="",O17=""),"V～Xを入力",IF(P17&gt;0,"未記入あり（P列）","OK"))))))))))</f>
        <v>会社名コード未設定（D4）</v>
      </c>
      <c r="R17" s="11" t="str">
        <f aca="false">IF(INDEX(評価項目対応!$M$6:$M$236,$U17)="","",INDEX(評価項目対応!$M$6:$M$236,$U17))</f>
        <v/>
      </c>
      <c r="S17" s="11" t="str">
        <f aca="false">INDEX(評価項目対応!$H$6:$H$236,$U17)</f>
        <v>IaC利用の有無を関連クラウドも含めて確認する。未使用なら範囲と理由を記載する。</v>
      </c>
      <c r="T17" s="11" t="str">
        <f aca="false">TRIM(IF(INDEX(評価項目対応!$K$6:$K$236,$U17)="","","試験ID: "&amp;INDEX(評価項目対応!$K$6:$K$236,$U17)&amp;"　")&amp;IF(INDEX(評価項目対応!$L$6:$L$236,$U17)="","","判断理由: "&amp;INDEX(評価項目対応!$L$6:$L$236,$U17)))</f>
        <v/>
      </c>
      <c r="U17" s="28" t="n">
        <f aca="false">MATCH($A17,評価項目対応!$A$6:$A$236,0)</f>
        <v>11</v>
      </c>
      <c r="V17" s="28" t="str">
        <f aca="false">IFERROR(VLOOKUP(I17,$X$6:$Y$11,2,FALSE()),"")</f>
        <v/>
      </c>
    </row>
    <row r="18" customFormat="false" ht="63.75" hidden="false" customHeight="true" outlineLevel="0" collapsed="false">
      <c r="A18" s="13" t="n">
        <v>14</v>
      </c>
      <c r="B18" s="13" t="n">
        <f aca="false">INDEX(評価項目対応!$B$6:$B$236,$U18)</f>
        <v>39</v>
      </c>
      <c r="C18" s="13" t="str">
        <f aca="false">INDEX(評価項目対応!$F$6:$F$236,$U18)</f>
        <v>3.08</v>
      </c>
      <c r="D18" s="11" t="str">
        <f aca="false">INDEX(評価項目対応!$D$6:$D$236,$U18)</f>
        <v>構成ドリフトのチェッ
ク</v>
      </c>
      <c r="E18" s="11" t="str">
        <f aca="false">INDEX(評価項目対応!$E$6:$E$236,$U18)</f>
        <v>テンプレート展開の外で変更または導入されたリソースを特定するために
、構成ドリフト（期待された状態からの乖離）を定期的にチェックする。</v>
      </c>
      <c r="F18" s="13" t="str">
        <f aca="false">IF($D$4="","",$D$4)</f>
        <v/>
      </c>
      <c r="G18" s="13" t="str">
        <f aca="false">IFERROR(IF(INDEX(評価項目対応!$I$6:$I$236,$U18)="対象","対象",IF(INDEX(評価項目対応!$I$6:$I$236,$U18)="対象外（承認済）","対象外",IF(INDEX(評価項目対応!$I$6:$I$236,$U18)="未確定","n/a",""))),"")</f>
        <v>n/a</v>
      </c>
      <c r="H18" s="25" t="str">
        <f aca="false">IF(ISBLANK(J18),"",IF(J18=5,"Yes",IF(J18=4,"Yes","No")))</f>
        <v/>
      </c>
      <c r="I18" s="18"/>
      <c r="J18" s="26"/>
      <c r="K18" s="18"/>
      <c r="L18" s="18"/>
      <c r="M18" s="11" t="str">
        <f aca="false">IF(INDEX(評価項目対応!$J$6:$J$236,$U18)="","",INDEX(評価項目対応!$J$6:$J$236,$U18))</f>
        <v/>
      </c>
      <c r="N18" s="11" t="str">
        <f aca="false">IF(INDEX(評価項目対応!$N$6:$N$236,$U18)="","",INDEX(評価項目対応!$N$6:$N$236,$U18))</f>
        <v/>
      </c>
      <c r="O18" s="11" t="str">
        <f aca="false">IF(INDEX(評価項目対応!$O$6:$O$236,$U18)="","",INDEX(評価項目対応!$O$6:$O$236,$U18))</f>
        <v/>
      </c>
      <c r="P18" s="27" t="n">
        <f aca="false">COUNTIF(F18:G18,"")+COUNTIF(I18:O18,"")-IF(AND(G18="対象外",K18=""),1,0)</f>
        <v>8</v>
      </c>
      <c r="Q18" s="11" t="str">
        <f aca="false">IF(F18="","会社名コード未設定（D4）",IF(OR(G18="",G18="n/a"),"適用性を確定（評価項目対応I列）",IF(AND(G18="対象外",OR(I18&lt;&gt;"対象外",J18&lt;&gt;"n/a")),"対象外ならR=対象外・S=n/a",IF(AND(G18="対象",OR(I18="対象外",J18="n/a")),"対象なのにR／Sが対象外・n/a",IF(AND(G18="対象",OR(I18="",J18="")),"R・Sを入力",IF(AND(ISNUMBER(J18),ISNUMBER(V18),ABS(N(J18)-N(V18))&gt;=1),"RとSの乖離（案分ならUに明記）",IF(AND(G18="対象",L18=""),"Uに制約・代替策・未検証を記載",IF(AND(G18="対象外",L18=""),"対象外の理由・承認者をUに記載",IF(OR(M18="",N18="",O18=""),"V～Xを入力",IF(P18&gt;0,"未記入あり（P列）","OK"))))))))))</f>
        <v>会社名コード未設定（D4）</v>
      </c>
      <c r="R18" s="11" t="str">
        <f aca="false">IF(INDEX(評価項目対応!$M$6:$M$236,$U18)="","",INDEX(評価項目対応!$M$6:$M$236,$U18))</f>
        <v/>
      </c>
      <c r="S18" s="11" t="str">
        <f aca="false">INDEX(評価項目対応!$H$6:$H$236,$U18)</f>
        <v>Google管理ポリシーの承認基線と実効値、変更履歴、差分検出・復元を確認する。</v>
      </c>
      <c r="T18" s="11" t="str">
        <f aca="false">TRIM(IF(INDEX(評価項目対応!$K$6:$K$236,$U18)="","","試験ID: "&amp;INDEX(評価項目対応!$K$6:$K$236,$U18)&amp;"　")&amp;IF(INDEX(評価項目対応!$L$6:$L$236,$U18)="","","判断理由: "&amp;INDEX(評価項目対応!$L$6:$L$236,$U18)))</f>
        <v/>
      </c>
      <c r="U18" s="28" t="n">
        <f aca="false">MATCH($A18,評価項目対応!$A$6:$A$236,0)</f>
        <v>12</v>
      </c>
      <c r="V18" s="28" t="str">
        <f aca="false">IFERROR(VLOOKUP(I18,$X$6:$Y$11,2,FALSE()),"")</f>
        <v/>
      </c>
    </row>
    <row r="19" customFormat="false" ht="63.75" hidden="false" customHeight="true" outlineLevel="0" collapsed="false">
      <c r="A19" s="13" t="n">
        <v>15</v>
      </c>
      <c r="B19" s="13" t="n">
        <f aca="false">INDEX(評価項目対応!$B$6:$B$236,$U19)</f>
        <v>40</v>
      </c>
      <c r="C19" s="13" t="str">
        <f aca="false">INDEX(評価項目対応!$F$6:$F$236,$U19)</f>
        <v>3.08</v>
      </c>
      <c r="D19" s="11" t="str">
        <f aca="false">INDEX(評価項目対応!$D$6:$D$236,$U19)</f>
        <v>構成ドリフトのチェッ
ク</v>
      </c>
      <c r="E19" s="11" t="str">
        <f aca="false">INDEX(評価項目対応!$E$6:$E$236,$U19)</f>
        <v>構成ドリフト（期待された状態からの乖離）チェックにより、新しいセキ
ュリティギャップと設定ミスが導入される可能性を減らす。</v>
      </c>
      <c r="F19" s="13" t="str">
        <f aca="false">IF($D$4="","",$D$4)</f>
        <v/>
      </c>
      <c r="G19" s="13" t="str">
        <f aca="false">IFERROR(IF(INDEX(評価項目対応!$I$6:$I$236,$U19)="対象","対象",IF(INDEX(評価項目対応!$I$6:$I$236,$U19)="対象外（承認済）","対象外",IF(INDEX(評価項目対応!$I$6:$I$236,$U19)="未確定","n/a",""))),"")</f>
        <v>n/a</v>
      </c>
      <c r="H19" s="25" t="str">
        <f aca="false">IF(ISBLANK(J19),"",IF(J19=5,"Yes",IF(J19=4,"Yes","No")))</f>
        <v/>
      </c>
      <c r="I19" s="18"/>
      <c r="J19" s="26"/>
      <c r="K19" s="18"/>
      <c r="L19" s="18"/>
      <c r="M19" s="11" t="str">
        <f aca="false">IF(INDEX(評価項目対応!$J$6:$J$236,$U19)="","",INDEX(評価項目対応!$J$6:$J$236,$U19))</f>
        <v/>
      </c>
      <c r="N19" s="11" t="str">
        <f aca="false">IF(INDEX(評価項目対応!$N$6:$N$236,$U19)="","",INDEX(評価項目対応!$N$6:$N$236,$U19))</f>
        <v/>
      </c>
      <c r="O19" s="11" t="str">
        <f aca="false">IF(INDEX(評価項目対応!$O$6:$O$236,$U19)="","",INDEX(評価項目対応!$O$6:$O$236,$U19))</f>
        <v/>
      </c>
      <c r="P19" s="27" t="n">
        <f aca="false">COUNTIF(F19:G19,"")+COUNTIF(I19:O19,"")-IF(AND(G19="対象外",K19=""),1,0)</f>
        <v>8</v>
      </c>
      <c r="Q19" s="11" t="str">
        <f aca="false">IF(F19="","会社名コード未設定（D4）",IF(OR(G19="",G19="n/a"),"適用性を確定（評価項目対応I列）",IF(AND(G19="対象外",OR(I19&lt;&gt;"対象外",J19&lt;&gt;"n/a")),"対象外ならR=対象外・S=n/a",IF(AND(G19="対象",OR(I19="対象外",J19="n/a")),"対象なのにR／Sが対象外・n/a",IF(AND(G19="対象",OR(I19="",J19="")),"R・Sを入力",IF(AND(ISNUMBER(J19),ISNUMBER(V19),ABS(N(J19)-N(V19))&gt;=1),"RとSの乖離（案分ならUに明記）",IF(AND(G19="対象",L19=""),"Uに制約・代替策・未検証を記載",IF(AND(G19="対象外",L19=""),"対象外の理由・承認者をUに記載",IF(OR(M19="",N19="",O19=""),"V～Xを入力",IF(P19&gt;0,"未記入あり（P列）","OK"))))))))))</f>
        <v>会社名コード未設定（D4）</v>
      </c>
      <c r="R19" s="11" t="str">
        <f aca="false">IF(INDEX(評価項目対応!$M$6:$M$236,$U19)="","",INDEX(評価項目対応!$M$6:$M$236,$U19))</f>
        <v/>
      </c>
      <c r="S19" s="11" t="str">
        <f aca="false">INDEX(評価項目対応!$H$6:$H$236,$U19)</f>
        <v>Google管理ポリシーの承認基線と実効値、変更履歴、差分検出・復元を確認する。</v>
      </c>
      <c r="T19" s="11" t="str">
        <f aca="false">TRIM(IF(INDEX(評価項目対応!$K$6:$K$236,$U19)="","","試験ID: "&amp;INDEX(評価項目対応!$K$6:$K$236,$U19)&amp;"　")&amp;IF(INDEX(評価項目対応!$L$6:$L$236,$U19)="","","判断理由: "&amp;INDEX(評価項目対応!$L$6:$L$236,$U19)))</f>
        <v/>
      </c>
      <c r="U19" s="28" t="n">
        <f aca="false">MATCH($A19,評価項目対応!$A$6:$A$236,0)</f>
        <v>13</v>
      </c>
      <c r="V19" s="28" t="str">
        <f aca="false">IFERROR(VLOOKUP(I19,$X$6:$Y$11,2,FALSE()),"")</f>
        <v/>
      </c>
    </row>
    <row r="20" customFormat="false" ht="36" hidden="false" customHeight="true" outlineLevel="0" collapsed="false">
      <c r="A20" s="13" t="n">
        <v>16</v>
      </c>
      <c r="B20" s="13" t="n">
        <f aca="false">INDEX(評価項目対応!$B$6:$B$236,$U20)</f>
        <v>28</v>
      </c>
      <c r="C20" s="13" t="str">
        <f aca="false">INDEX(評価項目対応!$F$6:$F$236,$U20)</f>
        <v>3.07</v>
      </c>
      <c r="D20" s="11" t="str">
        <f aca="false">INDEX(評価項目対応!$D$6:$D$236,$U20)</f>
        <v>脆弱性管理</v>
      </c>
      <c r="E20" s="11" t="str">
        <f aca="false">INDEX(評価項目対応!$E$6:$E$236,$U20)</f>
        <v>攻撃対象領域を制限するため、定期的な脆弱性スキャンを実施する。</v>
      </c>
      <c r="F20" s="13" t="str">
        <f aca="false">IF($D$4="","",$D$4)</f>
        <v/>
      </c>
      <c r="G20" s="13" t="str">
        <f aca="false">IFERROR(IF(INDEX(評価項目対応!$I$6:$I$236,$U20)="対象","対象",IF(INDEX(評価項目対応!$I$6:$I$236,$U20)="対象外（承認済）","対象外",IF(INDEX(評価項目対応!$I$6:$I$236,$U20)="未確定","n/a",""))),"")</f>
        <v>n/a</v>
      </c>
      <c r="H20" s="25" t="str">
        <f aca="false">IF(ISBLANK(J20),"",IF(J20=5,"Yes",IF(J20=4,"Yes","No")))</f>
        <v/>
      </c>
      <c r="I20" s="18"/>
      <c r="J20" s="26"/>
      <c r="K20" s="18"/>
      <c r="L20" s="18"/>
      <c r="M20" s="11" t="str">
        <f aca="false">IF(INDEX(評価項目対応!$J$6:$J$236,$U20)="","",INDEX(評価項目対応!$J$6:$J$236,$U20))</f>
        <v/>
      </c>
      <c r="N20" s="11" t="str">
        <f aca="false">IF(INDEX(評価項目対応!$N$6:$N$236,$U20)="","",INDEX(評価項目対応!$N$6:$N$236,$U20))</f>
        <v/>
      </c>
      <c r="O20" s="11" t="str">
        <f aca="false">IF(INDEX(評価項目対応!$O$6:$O$236,$U20)="","",INDEX(評価項目対応!$O$6:$O$236,$U20))</f>
        <v/>
      </c>
      <c r="P20" s="27" t="n">
        <f aca="false">COUNTIF(F20:G20,"")+COUNTIF(I20:O20,"")-IF(AND(G20="対象外",K20=""),1,0)</f>
        <v>8</v>
      </c>
      <c r="Q20" s="11" t="str">
        <f aca="false">IF(F20="","会社名コード未設定（D4）",IF(OR(G20="",G20="n/a"),"適用性を確定（評価項目対応I列）",IF(AND(G20="対象外",OR(I20&lt;&gt;"対象外",J20&lt;&gt;"n/a")),"対象外ならR=対象外・S=n/a",IF(AND(G20="対象",OR(I20="対象外",J20="n/a")),"対象なのにR／Sが対象外・n/a",IF(AND(G20="対象",OR(I20="",J20="")),"R・Sを入力",IF(AND(ISNUMBER(J20),ISNUMBER(V20),ABS(N(J20)-N(V20))&gt;=1),"RとSの乖離（案分ならUに明記）",IF(AND(G20="対象",L20=""),"Uに制約・代替策・未検証を記載",IF(AND(G20="対象外",L20=""),"対象外の理由・承認者をUに記載",IF(OR(M20="",N20="",O20=""),"V～Xを入力",IF(P20&gt;0,"未記入あり（P列）","OK"))))))))))</f>
        <v>会社名コード未設定（D4）</v>
      </c>
      <c r="R20" s="11" t="str">
        <f aca="false">IF(INDEX(評価項目対応!$M$6:$M$236,$U20)="","",INDEX(評価項目対応!$M$6:$M$236,$U20))</f>
        <v/>
      </c>
      <c r="S20" s="11" t="str">
        <f aca="false">INDEX(評価項目対応!$H$6:$H$236,$U20)</f>
        <v>ChromeOSと接続先・ネットワーク製品を分けて脆弱性・更新運用を確認する。</v>
      </c>
      <c r="T20" s="11" t="str">
        <f aca="false">TRIM(IF(INDEX(評価項目対応!$K$6:$K$236,$U20)="","","試験ID: "&amp;INDEX(評価項目対応!$K$6:$K$236,$U20)&amp;"　")&amp;IF(INDEX(評価項目対応!$L$6:$L$236,$U20)="","","判断理由: "&amp;INDEX(評価項目対応!$L$6:$L$236,$U20)))</f>
        <v/>
      </c>
      <c r="U20" s="28" t="n">
        <f aca="false">MATCH($A20,評価項目対応!$A$6:$A$236,0)</f>
        <v>14</v>
      </c>
      <c r="V20" s="28" t="str">
        <f aca="false">IFERROR(VLOOKUP(I20,$X$6:$Y$11,2,FALSE()),"")</f>
        <v/>
      </c>
    </row>
    <row r="21" customFormat="false" ht="49.5" hidden="false" customHeight="true" outlineLevel="0" collapsed="false">
      <c r="A21" s="13" t="n">
        <v>17</v>
      </c>
      <c r="B21" s="13" t="n">
        <f aca="false">INDEX(評価項目対応!$B$6:$B$236,$U21)</f>
        <v>29</v>
      </c>
      <c r="C21" s="13" t="str">
        <f aca="false">INDEX(評価項目対応!$F$6:$F$236,$U21)</f>
        <v>3.07</v>
      </c>
      <c r="D21" s="11" t="str">
        <f aca="false">INDEX(評価項目対応!$D$6:$D$236,$U21)</f>
        <v>脆弱性管理</v>
      </c>
      <c r="E21" s="11" t="str">
        <f aca="false">INDEX(評価項目対応!$E$6:$E$236,$U21)</f>
        <v>特にインターネットに接続されたデバイス上の脆弱性を特定して対処する
。</v>
      </c>
      <c r="F21" s="13" t="str">
        <f aca="false">IF($D$4="","",$D$4)</f>
        <v/>
      </c>
      <c r="G21" s="13" t="str">
        <f aca="false">IFERROR(IF(INDEX(評価項目対応!$I$6:$I$236,$U21)="対象","対象",IF(INDEX(評価項目対応!$I$6:$I$236,$U21)="対象外（承認済）","対象外",IF(INDEX(評価項目対応!$I$6:$I$236,$U21)="未確定","n/a",""))),"")</f>
        <v>n/a</v>
      </c>
      <c r="H21" s="25" t="str">
        <f aca="false">IF(ISBLANK(J21),"",IF(J21=5,"Yes",IF(J21=4,"Yes","No")))</f>
        <v/>
      </c>
      <c r="I21" s="18"/>
      <c r="J21" s="26"/>
      <c r="K21" s="18"/>
      <c r="L21" s="18"/>
      <c r="M21" s="11" t="str">
        <f aca="false">IF(INDEX(評価項目対応!$J$6:$J$236,$U21)="","",INDEX(評価項目対応!$J$6:$J$236,$U21))</f>
        <v/>
      </c>
      <c r="N21" s="11" t="str">
        <f aca="false">IF(INDEX(評価項目対応!$N$6:$N$236,$U21)="","",INDEX(評価項目対応!$N$6:$N$236,$U21))</f>
        <v/>
      </c>
      <c r="O21" s="11" t="str">
        <f aca="false">IF(INDEX(評価項目対応!$O$6:$O$236,$U21)="","",INDEX(評価項目対応!$O$6:$O$236,$U21))</f>
        <v/>
      </c>
      <c r="P21" s="27" t="n">
        <f aca="false">COUNTIF(F21:G21,"")+COUNTIF(I21:O21,"")-IF(AND(G21="対象外",K21=""),1,0)</f>
        <v>8</v>
      </c>
      <c r="Q21" s="11" t="str">
        <f aca="false">IF(F21="","会社名コード未設定（D4）",IF(OR(G21="",G21="n/a"),"適用性を確定（評価項目対応I列）",IF(AND(G21="対象外",OR(I21&lt;&gt;"対象外",J21&lt;&gt;"n/a")),"対象外ならR=対象外・S=n/a",IF(AND(G21="対象",OR(I21="対象外",J21="n/a")),"対象なのにR／Sが対象外・n/a",IF(AND(G21="対象",OR(I21="",J21="")),"R・Sを入力",IF(AND(ISNUMBER(J21),ISNUMBER(V21),ABS(N(J21)-N(V21))&gt;=1),"RとSの乖離（案分ならUに明記）",IF(AND(G21="対象",L21=""),"Uに制約・代替策・未検証を記載",IF(AND(G21="対象外",L21=""),"対象外の理由・承認者をUに記載",IF(OR(M21="",N21="",O21=""),"V～Xを入力",IF(P21&gt;0,"未記入あり（P列）","OK"))))))))))</f>
        <v>会社名コード未設定（D4）</v>
      </c>
      <c r="R21" s="11" t="str">
        <f aca="false">IF(INDEX(評価項目対応!$M$6:$M$236,$U21)="","",INDEX(評価項目対応!$M$6:$M$236,$U21))</f>
        <v/>
      </c>
      <c r="S21" s="11" t="str">
        <f aca="false">INDEX(評価項目対応!$H$6:$H$236,$U21)</f>
        <v>ChromeOSと接続先・ネットワーク製品を分けて脆弱性・更新運用を確認する。</v>
      </c>
      <c r="T21" s="11" t="str">
        <f aca="false">TRIM(IF(INDEX(評価項目対応!$K$6:$K$236,$U21)="","","試験ID: "&amp;INDEX(評価項目対応!$K$6:$K$236,$U21)&amp;"　")&amp;IF(INDEX(評価項目対応!$L$6:$L$236,$U21)="","","判断理由: "&amp;INDEX(評価項目対応!$L$6:$L$236,$U21)))</f>
        <v/>
      </c>
      <c r="U21" s="28" t="n">
        <f aca="false">MATCH($A21,評価項目対応!$A$6:$A$236,0)</f>
        <v>15</v>
      </c>
      <c r="V21" s="28" t="str">
        <f aca="false">IFERROR(VLOOKUP(I21,$X$6:$Y$11,2,FALSE()),"")</f>
        <v/>
      </c>
    </row>
    <row r="22" customFormat="false" ht="78" hidden="false" customHeight="true" outlineLevel="0" collapsed="false">
      <c r="A22" s="13" t="n">
        <v>18</v>
      </c>
      <c r="B22" s="13" t="n">
        <f aca="false">INDEX(評価項目対応!$B$6:$B$236,$U22)</f>
        <v>30</v>
      </c>
      <c r="C22" s="13" t="str">
        <f aca="false">INDEX(評価項目対応!$F$6:$F$236,$U22)</f>
        <v>3.07</v>
      </c>
      <c r="D22" s="11" t="str">
        <f aca="false">INDEX(評価項目対応!$D$6:$D$236,$U22)</f>
        <v>脆弱性管理</v>
      </c>
      <c r="E22" s="11" t="str">
        <f aca="false">INDEX(評価項目対応!$E$6:$E$236,$U22)</f>
        <v>インターネットデータ、Webブラウザ、ブラウザプラグイン、ドキュメン
トリーダーなどを処理するソフトウェアを実行するインターネット向けサ
ーバーへのパッチ適用を優先する。</v>
      </c>
      <c r="F22" s="13" t="str">
        <f aca="false">IF($D$4="","",$D$4)</f>
        <v/>
      </c>
      <c r="G22" s="13" t="str">
        <f aca="false">IFERROR(IF(INDEX(評価項目対応!$I$6:$I$236,$U22)="対象","対象",IF(INDEX(評価項目対応!$I$6:$I$236,$U22)="対象外（承認済）","対象外",IF(INDEX(評価項目対応!$I$6:$I$236,$U22)="未確定","n/a",""))),"")</f>
        <v>n/a</v>
      </c>
      <c r="H22" s="25" t="str">
        <f aca="false">IF(ISBLANK(J22),"",IF(J22=5,"Yes",IF(J22=4,"Yes","No")))</f>
        <v/>
      </c>
      <c r="I22" s="18"/>
      <c r="J22" s="26"/>
      <c r="K22" s="18"/>
      <c r="L22" s="18"/>
      <c r="M22" s="11" t="str">
        <f aca="false">IF(INDEX(評価項目対応!$J$6:$J$236,$U22)="","",INDEX(評価項目対応!$J$6:$J$236,$U22))</f>
        <v/>
      </c>
      <c r="N22" s="11" t="str">
        <f aca="false">IF(INDEX(評価項目対応!$N$6:$N$236,$U22)="","",INDEX(評価項目対応!$N$6:$N$236,$U22))</f>
        <v/>
      </c>
      <c r="O22" s="11" t="str">
        <f aca="false">IF(INDEX(評価項目対応!$O$6:$O$236,$U22)="","",INDEX(評価項目対応!$O$6:$O$236,$U22))</f>
        <v/>
      </c>
      <c r="P22" s="27" t="n">
        <f aca="false">COUNTIF(F22:G22,"")+COUNTIF(I22:O22,"")-IF(AND(G22="対象外",K22=""),1,0)</f>
        <v>8</v>
      </c>
      <c r="Q22" s="11" t="str">
        <f aca="false">IF(F22="","会社名コード未設定（D4）",IF(OR(G22="",G22="n/a"),"適用性を確定（評価項目対応I列）",IF(AND(G22="対象外",OR(I22&lt;&gt;"対象外",J22&lt;&gt;"n/a")),"対象外ならR=対象外・S=n/a",IF(AND(G22="対象",OR(I22="対象外",J22="n/a")),"対象なのにR／Sが対象外・n/a",IF(AND(G22="対象",OR(I22="",J22="")),"R・Sを入力",IF(AND(ISNUMBER(J22),ISNUMBER(V22),ABS(N(J22)-N(V22))&gt;=1),"RとSの乖離（案分ならUに明記）",IF(AND(G22="対象",L22=""),"Uに制約・代替策・未検証を記載",IF(AND(G22="対象外",L22=""),"対象外の理由・承認者をUに記載",IF(OR(M22="",N22="",O22=""),"V～Xを入力",IF(P22&gt;0,"未記入あり（P列）","OK"))))))))))</f>
        <v>会社名コード未設定（D4）</v>
      </c>
      <c r="R22" s="11" t="str">
        <f aca="false">IF(INDEX(評価項目対応!$M$6:$M$236,$U22)="","",INDEX(評価項目対応!$M$6:$M$236,$U22))</f>
        <v/>
      </c>
      <c r="S22" s="11" t="str">
        <f aca="false">INDEX(評価項目対応!$H$6:$H$236,$U22)</f>
        <v>ChromeOSと接続先・ネットワーク製品を分けて脆弱性・更新運用を確認する。</v>
      </c>
      <c r="T22" s="11" t="str">
        <f aca="false">TRIM(IF(INDEX(評価項目対応!$K$6:$K$236,$U22)="","","試験ID: "&amp;INDEX(評価項目対応!$K$6:$K$236,$U22)&amp;"　")&amp;IF(INDEX(評価項目対応!$L$6:$L$236,$U22)="","","判断理由: "&amp;INDEX(評価項目対応!$L$6:$L$236,$U22)))</f>
        <v/>
      </c>
      <c r="U22" s="28" t="n">
        <f aca="false">MATCH($A22,評価項目対応!$A$6:$A$236,0)</f>
        <v>16</v>
      </c>
      <c r="V22" s="28" t="str">
        <f aca="false">IFERROR(VLOOKUP(I22,$X$6:$Y$11,2,FALSE()),"")</f>
        <v/>
      </c>
    </row>
    <row r="23" customFormat="false" ht="36" hidden="false" customHeight="true" outlineLevel="0" collapsed="false">
      <c r="A23" s="13" t="n">
        <v>19</v>
      </c>
      <c r="B23" s="13" t="n">
        <f aca="false">INDEX(評価項目対応!$B$6:$B$236,$U23)</f>
        <v>31</v>
      </c>
      <c r="C23" s="13" t="str">
        <f aca="false">INDEX(評価項目対応!$F$6:$F$236,$U23)</f>
        <v>3.07</v>
      </c>
      <c r="D23" s="11" t="str">
        <f aca="false">INDEX(評価項目対応!$D$6:$D$236,$U23)</f>
        <v>脆弱性管理</v>
      </c>
      <c r="E23" s="11" t="str">
        <f aca="false">INDEX(評価項目対応!$E$6:$E$236,$U23)</f>
        <v>特に既知の悪用された脆弱性を持つサーバーへのパッチ適用を優先する。</v>
      </c>
      <c r="F23" s="13" t="str">
        <f aca="false">IF($D$4="","",$D$4)</f>
        <v/>
      </c>
      <c r="G23" s="13" t="str">
        <f aca="false">IFERROR(IF(INDEX(評価項目対応!$I$6:$I$236,$U23)="対象","対象",IF(INDEX(評価項目対応!$I$6:$I$236,$U23)="対象外（承認済）","対象外",IF(INDEX(評価項目対応!$I$6:$I$236,$U23)="未確定","n/a",""))),"")</f>
        <v>n/a</v>
      </c>
      <c r="H23" s="25" t="str">
        <f aca="false">IF(ISBLANK(J23),"",IF(J23=5,"Yes",IF(J23=4,"Yes","No")))</f>
        <v/>
      </c>
      <c r="I23" s="18"/>
      <c r="J23" s="26"/>
      <c r="K23" s="18"/>
      <c r="L23" s="18"/>
      <c r="M23" s="11" t="str">
        <f aca="false">IF(INDEX(評価項目対応!$J$6:$J$236,$U23)="","",INDEX(評価項目対応!$J$6:$J$236,$U23))</f>
        <v/>
      </c>
      <c r="N23" s="11" t="str">
        <f aca="false">IF(INDEX(評価項目対応!$N$6:$N$236,$U23)="","",INDEX(評価項目対応!$N$6:$N$236,$U23))</f>
        <v/>
      </c>
      <c r="O23" s="11" t="str">
        <f aca="false">IF(INDEX(評価項目対応!$O$6:$O$236,$U23)="","",INDEX(評価項目対応!$O$6:$O$236,$U23))</f>
        <v/>
      </c>
      <c r="P23" s="27" t="n">
        <f aca="false">COUNTIF(F23:G23,"")+COUNTIF(I23:O23,"")-IF(AND(G23="対象外",K23=""),1,0)</f>
        <v>8</v>
      </c>
      <c r="Q23" s="11" t="str">
        <f aca="false">IF(F23="","会社名コード未設定（D4）",IF(OR(G23="",G23="n/a"),"適用性を確定（評価項目対応I列）",IF(AND(G23="対象外",OR(I23&lt;&gt;"対象外",J23&lt;&gt;"n/a")),"対象外ならR=対象外・S=n/a",IF(AND(G23="対象",OR(I23="対象外",J23="n/a")),"対象なのにR／Sが対象外・n/a",IF(AND(G23="対象",OR(I23="",J23="")),"R・Sを入力",IF(AND(ISNUMBER(J23),ISNUMBER(V23),ABS(N(J23)-N(V23))&gt;=1),"RとSの乖離（案分ならUに明記）",IF(AND(G23="対象",L23=""),"Uに制約・代替策・未検証を記載",IF(AND(G23="対象外",L23=""),"対象外の理由・承認者をUに記載",IF(OR(M23="",N23="",O23=""),"V～Xを入力",IF(P23&gt;0,"未記入あり（P列）","OK"))))))))))</f>
        <v>会社名コード未設定（D4）</v>
      </c>
      <c r="R23" s="11" t="str">
        <f aca="false">IF(INDEX(評価項目対応!$M$6:$M$236,$U23)="","",INDEX(評価項目対応!$M$6:$M$236,$U23))</f>
        <v/>
      </c>
      <c r="S23" s="11" t="str">
        <f aca="false">INDEX(評価項目対応!$H$6:$H$236,$U23)</f>
        <v>ChromeOSと接続先・ネットワーク製品を分けて脆弱性・更新運用を確認する。</v>
      </c>
      <c r="T23" s="11" t="str">
        <f aca="false">TRIM(IF(INDEX(評価項目対応!$K$6:$K$236,$U23)="","","試験ID: "&amp;INDEX(評価項目対応!$K$6:$K$236,$U23)&amp;"　")&amp;IF(INDEX(評価項目対応!$L$6:$L$236,$U23)="","","判断理由: "&amp;INDEX(評価項目対応!$L$6:$L$236,$U23)))</f>
        <v/>
      </c>
      <c r="U23" s="28" t="n">
        <f aca="false">MATCH($A23,評価項目対応!$A$6:$A$236,0)</f>
        <v>17</v>
      </c>
      <c r="V23" s="28" t="str">
        <f aca="false">IFERROR(VLOOKUP(I23,$X$6:$Y$11,2,FALSE()),"")</f>
        <v/>
      </c>
    </row>
    <row r="24" customFormat="false" ht="63.75" hidden="false" customHeight="true" outlineLevel="0" collapsed="false">
      <c r="A24" s="13" t="n">
        <v>20</v>
      </c>
      <c r="B24" s="13" t="n">
        <f aca="false">INDEX(評価項目対応!$B$6:$B$236,$U24)</f>
        <v>154</v>
      </c>
      <c r="C24" s="13" t="str">
        <f aca="false">INDEX(評価項目対応!$F$6:$F$236,$U24)</f>
        <v>4.04a</v>
      </c>
      <c r="D24" s="11" t="str">
        <f aca="false">INDEX(評価項目対応!$D$6:$D$236,$U24)</f>
        <v>データセンター管理</v>
      </c>
      <c r="E24" s="11" t="str">
        <f aca="false">INDEX(評価項目対応!$E$6:$E$236,$U24)</f>
        <v>データセンター のセキュリティを検証するために、BloodHound や PingC
astle などのオープンソースの侵入テストツールを使用する。</v>
      </c>
      <c r="F24" s="13" t="str">
        <f aca="false">IF($D$4="","",$D$4)</f>
        <v/>
      </c>
      <c r="G24" s="13" t="str">
        <f aca="false">IFERROR(IF(INDEX(評価項目対応!$I$6:$I$236,$U24)="対象","対象",IF(INDEX(評価項目対応!$I$6:$I$236,$U24)="対象外（承認済）","対象外",IF(INDEX(評価項目対応!$I$6:$I$236,$U24)="未確定","n/a",""))),"")</f>
        <v>n/a</v>
      </c>
      <c r="H24" s="25" t="str">
        <f aca="false">IF(ISBLANK(J24),"",IF(J24=5,"Yes",IF(J24=4,"Yes","No")))</f>
        <v/>
      </c>
      <c r="I24" s="18"/>
      <c r="J24" s="26"/>
      <c r="K24" s="18"/>
      <c r="L24" s="18"/>
      <c r="M24" s="11" t="str">
        <f aca="false">IF(INDEX(評価項目対応!$J$6:$J$236,$U24)="","",INDEX(評価項目対応!$J$6:$J$236,$U24))</f>
        <v/>
      </c>
      <c r="N24" s="11" t="str">
        <f aca="false">IF(INDEX(評価項目対応!$N$6:$N$236,$U24)="","",INDEX(評価項目対応!$N$6:$N$236,$U24))</f>
        <v/>
      </c>
      <c r="O24" s="11" t="str">
        <f aca="false">IF(INDEX(評価項目対応!$O$6:$O$236,$U24)="","",INDEX(評価項目対応!$O$6:$O$236,$U24))</f>
        <v/>
      </c>
      <c r="P24" s="27" t="n">
        <f aca="false">COUNTIF(F24:G24,"")+COUNTIF(I24:O24,"")-IF(AND(G24="対象外",K24=""),1,0)</f>
        <v>8</v>
      </c>
      <c r="Q24" s="11" t="str">
        <f aca="false">IF(F24="","会社名コード未設定（D4）",IF(OR(G24="",G24="n/a"),"適用性を確定（評価項目対応I列）",IF(AND(G24="対象外",OR(I24&lt;&gt;"対象外",J24&lt;&gt;"n/a")),"対象外ならR=対象外・S=n/a",IF(AND(G24="対象",OR(I24="対象外",J24="n/a")),"対象なのにR／Sが対象外・n/a",IF(AND(G24="対象",OR(I24="",J24="")),"R・Sを入力",IF(AND(ISNUMBER(J24),ISNUMBER(V24),ABS(N(J24)-N(V24))&gt;=1),"RとSの乖離（案分ならUに明記）",IF(AND(G24="対象",L24=""),"Uに制約・代替策・未検証を記載",IF(AND(G24="対象外",L24=""),"対象外の理由・承認者をUに記載",IF(OR(M24="",N24="",O24=""),"V～Xを入力",IF(P24&gt;0,"未記入あり（P列）","OK"))))))))))</f>
        <v>会社名コード未設定（D4）</v>
      </c>
      <c r="R24" s="11" t="str">
        <f aca="false">IF(INDEX(評価項目対応!$M$6:$M$236,$U24)="","",INDEX(評価項目対応!$M$6:$M$236,$U24))</f>
        <v/>
      </c>
      <c r="S24" s="11" t="str">
        <f aca="false">INDEX(評価項目対応!$H$6:$H$236,$U24)</f>
        <v>原票の「データセンター」表記は原文のDC（Domain Controller）の訳。ADドメインコントローラーの設定・パッチ・監視の既存証跡を担当者から受領する。ChromeOS利用だけで対象外にしない。</v>
      </c>
      <c r="T24" s="11" t="str">
        <f aca="false">TRIM(IF(INDEX(評価項目対応!$K$6:$K$236,$U24)="","","試験ID: "&amp;INDEX(評価項目対応!$K$6:$K$236,$U24)&amp;"　")&amp;IF(INDEX(評価項目対応!$L$6:$L$236,$U24)="","","判断理由: "&amp;INDEX(評価項目対応!$L$6:$L$236,$U24)))</f>
        <v/>
      </c>
      <c r="U24" s="28" t="n">
        <f aca="false">MATCH($A24,評価項目対応!$A$6:$A$236,0)</f>
        <v>18</v>
      </c>
      <c r="V24" s="28" t="str">
        <f aca="false">IFERROR(VLOOKUP(I24,$X$6:$Y$11,2,FALSE()),"")</f>
        <v/>
      </c>
    </row>
    <row r="25" customFormat="false" ht="120" hidden="false" customHeight="true" outlineLevel="0" collapsed="false">
      <c r="A25" s="13" t="n">
        <v>21</v>
      </c>
      <c r="B25" s="13" t="n">
        <f aca="false">INDEX(評価項目対応!$B$6:$B$236,$U25)</f>
        <v>116</v>
      </c>
      <c r="C25" s="13" t="str">
        <f aca="false">INDEX(評価項目対応!$F$6:$F$236,$U25)</f>
        <v>5.08</v>
      </c>
      <c r="D25" s="11" t="str">
        <f aca="false">INDEX(評価項目対応!$D$6:$D$236,$U25)</f>
        <v>サードパーティ管理</v>
      </c>
      <c r="E25" s="11" t="str">
        <f aca="false">INDEX(評価項目対応!$E$6:$E$236,$U25)</f>
        <v>組織がミッションを達成するために依存しているサードパーティまたはマ
ネージドサービスプロバイダー（MSP）のリスク管理とサイバーセキュリ
ティ対策を検討する。
（MSPは、多数のクライアント組織に影響を与えるランサムウェアの感染
ベクトルとなっている。）</v>
      </c>
      <c r="F25" s="13" t="str">
        <f aca="false">IF($D$4="","",$D$4)</f>
        <v/>
      </c>
      <c r="G25" s="13" t="str">
        <f aca="false">IFERROR(IF(INDEX(評価項目対応!$I$6:$I$236,$U25)="対象","対象",IF(INDEX(評価項目対応!$I$6:$I$236,$U25)="対象外（承認済）","対象外",IF(INDEX(評価項目対応!$I$6:$I$236,$U25)="未確定","n/a",""))),"")</f>
        <v>n/a</v>
      </c>
      <c r="H25" s="25" t="str">
        <f aca="false">IF(ISBLANK(J25),"",IF(J25=5,"Yes",IF(J25=4,"Yes","No")))</f>
        <v/>
      </c>
      <c r="I25" s="18"/>
      <c r="J25" s="26"/>
      <c r="K25" s="18"/>
      <c r="L25" s="18"/>
      <c r="M25" s="11" t="str">
        <f aca="false">IF(INDEX(評価項目対応!$J$6:$J$236,$U25)="","",INDEX(評価項目対応!$J$6:$J$236,$U25))</f>
        <v/>
      </c>
      <c r="N25" s="11" t="str">
        <f aca="false">IF(INDEX(評価項目対応!$N$6:$N$236,$U25)="","",INDEX(評価項目対応!$N$6:$N$236,$U25))</f>
        <v/>
      </c>
      <c r="O25" s="11" t="str">
        <f aca="false">IF(INDEX(評価項目対応!$O$6:$O$236,$U25)="","",INDEX(評価項目対応!$O$6:$O$236,$U25))</f>
        <v/>
      </c>
      <c r="P25" s="27" t="n">
        <f aca="false">COUNTIF(F25:G25,"")+COUNTIF(I25:O25,"")-IF(AND(G25="対象外",K25=""),1,0)</f>
        <v>8</v>
      </c>
      <c r="Q25" s="11" t="str">
        <f aca="false">IF(F25="","会社名コード未設定（D4）",IF(OR(G25="",G25="n/a"),"適用性を確定（評価項目対応I列）",IF(AND(G25="対象外",OR(I25&lt;&gt;"対象外",J25&lt;&gt;"n/a")),"対象外ならR=対象外・S=n/a",IF(AND(G25="対象",OR(I25="対象外",J25="n/a")),"対象なのにR／Sが対象外・n/a",IF(AND(G25="対象",OR(I25="",J25="")),"R・Sを入力",IF(AND(ISNUMBER(J25),ISNUMBER(V25),ABS(N(J25)-N(V25))&gt;=1),"RとSの乖離（案分ならUに明記）",IF(AND(G25="対象",L25=""),"Uに制約・代替策・未検証を記載",IF(AND(G25="対象外",L25=""),"対象外の理由・承認者をUに記載",IF(OR(M25="",N25="",O25=""),"V～Xを入力",IF(P25&gt;0,"未記入あり（P列）","OK"))))))))))</f>
        <v>会社名コード未設定（D4）</v>
      </c>
      <c r="R25" s="11" t="str">
        <f aca="false">IF(INDEX(評価項目対応!$M$6:$M$236,$U25)="","",INDEX(評価項目対応!$M$6:$M$236,$U25))</f>
        <v/>
      </c>
      <c r="S25" s="11" t="str">
        <f aca="false">INDEX(評価項目対応!$H$6:$H$236,$U25)</f>
        <v>Google・販売店・運用委託先の責任分界、報告、最小権限と契約・管理手順を確認する。</v>
      </c>
      <c r="T25" s="11" t="str">
        <f aca="false">TRIM(IF(INDEX(評価項目対応!$K$6:$K$236,$U25)="","","試験ID: "&amp;INDEX(評価項目対応!$K$6:$K$236,$U25)&amp;"　")&amp;IF(INDEX(評価項目対応!$L$6:$L$236,$U25)="","","判断理由: "&amp;INDEX(評価項目対応!$L$6:$L$236,$U25)))</f>
        <v/>
      </c>
      <c r="U25" s="28" t="n">
        <f aca="false">MATCH($A25,評価項目対応!$A$6:$A$236,0)</f>
        <v>19</v>
      </c>
      <c r="V25" s="28" t="str">
        <f aca="false">IFERROR(VLOOKUP(I25,$X$6:$Y$11,2,FALSE()),"")</f>
        <v/>
      </c>
    </row>
    <row r="26" customFormat="false" ht="49.5" hidden="false" customHeight="true" outlineLevel="0" collapsed="false">
      <c r="A26" s="13" t="n">
        <v>22</v>
      </c>
      <c r="B26" s="13" t="n">
        <f aca="false">INDEX(評価項目対応!$B$6:$B$236,$U26)</f>
        <v>132</v>
      </c>
      <c r="C26" s="13" t="str">
        <f aca="false">INDEX(評価項目対応!$F$6:$F$236,$U26)</f>
        <v>2.07</v>
      </c>
      <c r="D26" s="11" t="str">
        <f aca="false">INDEX(評価項目対応!$D$6:$D$236,$U26)</f>
        <v>アカウント管理</v>
      </c>
      <c r="E26" s="11" t="str">
        <f aca="false">INDEX(評価項目対応!$E$6:$E$236,$U26)</f>
        <v>非アクティブまたは不正なアカウントについて、四半期ごとにユーザーお
よび管理者アカウントを監査する。</v>
      </c>
      <c r="F26" s="13" t="str">
        <f aca="false">IF($D$4="","",$D$4)</f>
        <v/>
      </c>
      <c r="G26" s="13" t="str">
        <f aca="false">IFERROR(IF(INDEX(評価項目対応!$I$6:$I$236,$U26)="対象","対象",IF(INDEX(評価項目対応!$I$6:$I$236,$U26)="対象外（承認済）","対象外",IF(INDEX(評価項目対応!$I$6:$I$236,$U26)="未確定","n/a",""))),"")</f>
        <v>n/a</v>
      </c>
      <c r="H26" s="25" t="str">
        <f aca="false">IF(ISBLANK(J26),"",IF(J26=5,"Yes",IF(J26=4,"Yes","No")))</f>
        <v/>
      </c>
      <c r="I26" s="18"/>
      <c r="J26" s="26"/>
      <c r="K26" s="18"/>
      <c r="L26" s="18"/>
      <c r="M26" s="11" t="str">
        <f aca="false">IF(INDEX(評価項目対応!$J$6:$J$236,$U26)="","",INDEX(評価項目対応!$J$6:$J$236,$U26))</f>
        <v/>
      </c>
      <c r="N26" s="11" t="str">
        <f aca="false">IF(INDEX(評価項目対応!$N$6:$N$236,$U26)="","",INDEX(評価項目対応!$N$6:$N$236,$U26))</f>
        <v/>
      </c>
      <c r="O26" s="11" t="str">
        <f aca="false">IF(INDEX(評価項目対応!$O$6:$O$236,$U26)="","",INDEX(評価項目対応!$O$6:$O$236,$U26))</f>
        <v/>
      </c>
      <c r="P26" s="27" t="n">
        <f aca="false">COUNTIF(F26:G26,"")+COUNTIF(I26:O26,"")-IF(AND(G26="対象外",K26=""),1,0)</f>
        <v>8</v>
      </c>
      <c r="Q26" s="11" t="str">
        <f aca="false">IF(F26="","会社名コード未設定（D4）",IF(OR(G26="",G26="n/a"),"適用性を確定（評価項目対応I列）",IF(AND(G26="対象外",OR(I26&lt;&gt;"対象外",J26&lt;&gt;"n/a")),"対象外ならR=対象外・S=n/a",IF(AND(G26="対象",OR(I26="対象外",J26="n/a")),"対象なのにR／Sが対象外・n/a",IF(AND(G26="対象",OR(I26="",J26="")),"R・Sを入力",IF(AND(ISNUMBER(J26),ISNUMBER(V26),ABS(N(J26)-N(V26))&gt;=1),"RとSの乖離（案分ならUに明記）",IF(AND(G26="対象",L26=""),"Uに制約・代替策・未検証を記載",IF(AND(G26="対象外",L26=""),"対象外の理由・承認者をUに記載",IF(OR(M26="",N26="",O26=""),"V～Xを入力",IF(P26&gt;0,"未記入あり（P列）","OK"))))))))))</f>
        <v>会社名コード未設定（D4）</v>
      </c>
      <c r="R26" s="11" t="str">
        <f aca="false">IF(INDEX(評価項目対応!$M$6:$M$236,$U26)="","",INDEX(評価項目対応!$M$6:$M$236,$U26))</f>
        <v/>
      </c>
      <c r="S26" s="11" t="str">
        <f aca="false">INDEX(評価項目対応!$H$6:$H$236,$U26)</f>
        <v>ユーザー・管理者の作成、停止、不要アカウント整理、定期棚卸しを確認する。</v>
      </c>
      <c r="T26" s="11" t="str">
        <f aca="false">TRIM(IF(INDEX(評価項目対応!$K$6:$K$236,$U26)="","","試験ID: "&amp;INDEX(評価項目対応!$K$6:$K$236,$U26)&amp;"　")&amp;IF(INDEX(評価項目対応!$L$6:$L$236,$U26)="","","判断理由: "&amp;INDEX(評価項目対応!$L$6:$L$236,$U26)))</f>
        <v/>
      </c>
      <c r="U26" s="28" t="n">
        <f aca="false">MATCH($A26,評価項目対応!$A$6:$A$236,0)</f>
        <v>20</v>
      </c>
      <c r="V26" s="28" t="str">
        <f aca="false">IFERROR(VLOOKUP(I26,$X$6:$Y$11,2,FALSE()),"")</f>
        <v/>
      </c>
    </row>
    <row r="27" customFormat="false" ht="36" hidden="false" customHeight="true" outlineLevel="0" collapsed="false">
      <c r="A27" s="13" t="n">
        <v>23</v>
      </c>
      <c r="B27" s="13" t="n">
        <f aca="false">INDEX(評価項目対応!$B$6:$B$236,$U27)</f>
        <v>78</v>
      </c>
      <c r="C27" s="13" t="str">
        <f aca="false">INDEX(評価項目対応!$F$6:$F$236,$U27)</f>
        <v>2.05</v>
      </c>
      <c r="D27" s="11" t="str">
        <f aca="false">INDEX(評価項目対応!$D$6:$D$236,$U27)</f>
        <v>アカウント管理</v>
      </c>
      <c r="E27" s="11" t="str">
        <f aca="false">INDEX(評価項目対応!$E$6:$E$236,$U27)</f>
        <v>デフォルトの管理者ユーザー名とパスワードを変更する。</v>
      </c>
      <c r="F27" s="13" t="str">
        <f aca="false">IF($D$4="","",$D$4)</f>
        <v/>
      </c>
      <c r="G27" s="13" t="str">
        <f aca="false">IFERROR(IF(INDEX(評価項目対応!$I$6:$I$236,$U27)="対象","対象",IF(INDEX(評価項目対応!$I$6:$I$236,$U27)="対象外（承認済）","対象外",IF(INDEX(評価項目対応!$I$6:$I$236,$U27)="未確定","n/a",""))),"")</f>
        <v>n/a</v>
      </c>
      <c r="H27" s="25" t="str">
        <f aca="false">IF(ISBLANK(J27),"",IF(J27=5,"Yes",IF(J27=4,"Yes","No")))</f>
        <v/>
      </c>
      <c r="I27" s="18"/>
      <c r="J27" s="26"/>
      <c r="K27" s="18"/>
      <c r="L27" s="18"/>
      <c r="M27" s="11" t="str">
        <f aca="false">IF(INDEX(評価項目対応!$J$6:$J$236,$U27)="","",INDEX(評価項目対応!$J$6:$J$236,$U27))</f>
        <v/>
      </c>
      <c r="N27" s="11" t="str">
        <f aca="false">IF(INDEX(評価項目対応!$N$6:$N$236,$U27)="","",INDEX(評価項目対応!$N$6:$N$236,$U27))</f>
        <v/>
      </c>
      <c r="O27" s="11" t="str">
        <f aca="false">IF(INDEX(評価項目対応!$O$6:$O$236,$U27)="","",INDEX(評価項目対応!$O$6:$O$236,$U27))</f>
        <v/>
      </c>
      <c r="P27" s="27" t="n">
        <f aca="false">COUNTIF(F27:G27,"")+COUNTIF(I27:O27,"")-IF(AND(G27="対象外",K27=""),1,0)</f>
        <v>8</v>
      </c>
      <c r="Q27" s="11" t="str">
        <f aca="false">IF(F27="","会社名コード未設定（D4）",IF(OR(G27="",G27="n/a"),"適用性を確定（評価項目対応I列）",IF(AND(G27="対象外",OR(I27&lt;&gt;"対象外",J27&lt;&gt;"n/a")),"対象外ならR=対象外・S=n/a",IF(AND(G27="対象",OR(I27="対象外",J27="n/a")),"対象なのにR／Sが対象外・n/a",IF(AND(G27="対象",OR(I27="",J27="")),"R・Sを入力",IF(AND(ISNUMBER(J27),ISNUMBER(V27),ABS(N(J27)-N(V27))&gt;=1),"RとSの乖離（案分ならUに明記）",IF(AND(G27="対象",L27=""),"Uに制約・代替策・未検証を記載",IF(AND(G27="対象外",L27=""),"対象外の理由・承認者をUに記載",IF(OR(M27="",N27="",O27=""),"V～Xを入力",IF(P27&gt;0,"未記入あり（P列）","OK"))))))))))</f>
        <v>会社名コード未設定（D4）</v>
      </c>
      <c r="R27" s="11" t="str">
        <f aca="false">IF(INDEX(評価項目対応!$M$6:$M$236,$U27)="","",INDEX(評価項目対応!$M$6:$M$236,$U27))</f>
        <v/>
      </c>
      <c r="S27" s="11" t="str">
        <f aca="false">INDEX(評価項目対応!$H$6:$H$236,$U27)</f>
        <v>認証情報保護、保存制限、認証失敗監視を原要求と比較する。非対応機能は代替策と差分を記録する。</v>
      </c>
      <c r="T27" s="11" t="str">
        <f aca="false">TRIM(IF(INDEX(評価項目対応!$K$6:$K$236,$U27)="","","試験ID: "&amp;INDEX(評価項目対応!$K$6:$K$236,$U27)&amp;"　")&amp;IF(INDEX(評価項目対応!$L$6:$L$236,$U27)="","","判断理由: "&amp;INDEX(評価項目対応!$L$6:$L$236,$U27)))</f>
        <v/>
      </c>
      <c r="U27" s="28" t="n">
        <f aca="false">MATCH($A27,評価項目対応!$A$6:$A$236,0)</f>
        <v>21</v>
      </c>
      <c r="V27" s="28" t="str">
        <f aca="false">IFERROR(VLOOKUP(I27,$X$6:$Y$11,2,FALSE()),"")</f>
        <v/>
      </c>
    </row>
    <row r="28" customFormat="false" ht="49.5" hidden="false" customHeight="true" outlineLevel="0" collapsed="false">
      <c r="A28" s="13" t="n">
        <v>24</v>
      </c>
      <c r="B28" s="13" t="n">
        <f aca="false">INDEX(評価項目対応!$B$6:$B$236,$U28)</f>
        <v>75</v>
      </c>
      <c r="C28" s="13" t="str">
        <f aca="false">INDEX(評価項目対応!$F$6:$F$236,$U28)</f>
        <v>2.05</v>
      </c>
      <c r="D28" s="11" t="str">
        <f aca="false">INDEX(評価項目対応!$D$6:$D$236,$U28)</f>
        <v>アカウント管理</v>
      </c>
      <c r="E28" s="11" t="str">
        <f aca="false">INDEX(評価項目対応!$E$6:$E$236,$U28)</f>
        <v>侵害された資格情報についてダークウェブを監視する資格情報監視サービ
スへの加入を検討する。</v>
      </c>
      <c r="F28" s="13" t="str">
        <f aca="false">IF($D$4="","",$D$4)</f>
        <v/>
      </c>
      <c r="G28" s="13" t="str">
        <f aca="false">IFERROR(IF(INDEX(評価項目対応!$I$6:$I$236,$U28)="対象","対象",IF(INDEX(評価項目対応!$I$6:$I$236,$U28)="対象外（承認済）","対象外",IF(INDEX(評価項目対応!$I$6:$I$236,$U28)="未確定","n/a",""))),"")</f>
        <v>n/a</v>
      </c>
      <c r="H28" s="25" t="str">
        <f aca="false">IF(ISBLANK(J28),"",IF(J28=5,"Yes",IF(J28=4,"Yes","No")))</f>
        <v/>
      </c>
      <c r="I28" s="18"/>
      <c r="J28" s="26"/>
      <c r="K28" s="18"/>
      <c r="L28" s="18"/>
      <c r="M28" s="11" t="str">
        <f aca="false">IF(INDEX(評価項目対応!$J$6:$J$236,$U28)="","",INDEX(評価項目対応!$J$6:$J$236,$U28))</f>
        <v/>
      </c>
      <c r="N28" s="11" t="str">
        <f aca="false">IF(INDEX(評価項目対応!$N$6:$N$236,$U28)="","",INDEX(評価項目対応!$N$6:$N$236,$U28))</f>
        <v/>
      </c>
      <c r="O28" s="11" t="str">
        <f aca="false">IF(INDEX(評価項目対応!$O$6:$O$236,$U28)="","",INDEX(評価項目対応!$O$6:$O$236,$U28))</f>
        <v/>
      </c>
      <c r="P28" s="27" t="n">
        <f aca="false">COUNTIF(F28:G28,"")+COUNTIF(I28:O28,"")-IF(AND(G28="対象外",K28=""),1,0)</f>
        <v>8</v>
      </c>
      <c r="Q28" s="11" t="str">
        <f aca="false">IF(F28="","会社名コード未設定（D4）",IF(OR(G28="",G28="n/a"),"適用性を確定（評価項目対応I列）",IF(AND(G28="対象外",OR(I28&lt;&gt;"対象外",J28&lt;&gt;"n/a")),"対象外ならR=対象外・S=n/a",IF(AND(G28="対象",OR(I28="対象外",J28="n/a")),"対象なのにR／Sが対象外・n/a",IF(AND(G28="対象",OR(I28="",J28="")),"R・Sを入力",IF(AND(ISNUMBER(J28),ISNUMBER(V28),ABS(N(J28)-N(V28))&gt;=1),"RとSの乖離（案分ならUに明記）",IF(AND(G28="対象",L28=""),"Uに制約・代替策・未検証を記載",IF(AND(G28="対象外",L28=""),"対象外の理由・承認者をUに記載",IF(OR(M28="",N28="",O28=""),"V～Xを入力",IF(P28&gt;0,"未記入あり（P列）","OK"))))))))))</f>
        <v>会社名コード未設定（D4）</v>
      </c>
      <c r="R28" s="11" t="str">
        <f aca="false">IF(INDEX(評価項目対応!$M$6:$M$236,$U28)="","",INDEX(評価項目対応!$M$6:$M$236,$U28))</f>
        <v/>
      </c>
      <c r="S28" s="11" t="str">
        <f aca="false">INDEX(評価項目対応!$H$6:$H$236,$U28)</f>
        <v>認証情報保護、保存制限、認証失敗監視を原要求と比較する。非対応機能は代替策と差分を記録する。</v>
      </c>
      <c r="T28" s="11" t="str">
        <f aca="false">TRIM(IF(INDEX(評価項目対応!$K$6:$K$236,$U28)="","","試験ID: "&amp;INDEX(評価項目対応!$K$6:$K$236,$U28)&amp;"　")&amp;IF(INDEX(評価項目対応!$L$6:$L$236,$U28)="","","判断理由: "&amp;INDEX(評価項目対応!$L$6:$L$236,$U28)))</f>
        <v/>
      </c>
      <c r="U28" s="28" t="n">
        <f aca="false">MATCH($A28,評価項目対応!$A$6:$A$236,0)</f>
        <v>22</v>
      </c>
      <c r="V28" s="28" t="str">
        <f aca="false">IFERROR(VLOOKUP(I28,$X$6:$Y$11,2,FALSE()),"")</f>
        <v/>
      </c>
    </row>
    <row r="29" customFormat="false" ht="49.5" hidden="false" customHeight="true" outlineLevel="0" collapsed="false">
      <c r="A29" s="13" t="n">
        <v>25</v>
      </c>
      <c r="B29" s="13" t="n">
        <f aca="false">INDEX(評価項目対応!$B$6:$B$236,$U29)</f>
        <v>81</v>
      </c>
      <c r="C29" s="13" t="str">
        <f aca="false">INDEX(評価項目対応!$F$6:$F$236,$U29)</f>
        <v>2.05</v>
      </c>
      <c r="D29" s="11" t="str">
        <f aca="false">INDEX(評価項目対応!$D$6:$D$236,$U29)</f>
        <v>パスワード管理</v>
      </c>
      <c r="E29" s="11" t="str">
        <f aca="false">INDEX(評価項目対応!$E$6:$E$236,$U29)</f>
        <v>少なくとも15文字のユニークなパスワードを要求するパスワードポリシー
を実装する。</v>
      </c>
      <c r="F29" s="13" t="str">
        <f aca="false">IF($D$4="","",$D$4)</f>
        <v/>
      </c>
      <c r="G29" s="13" t="str">
        <f aca="false">IFERROR(IF(INDEX(評価項目対応!$I$6:$I$236,$U29)="対象","対象",IF(INDEX(評価項目対応!$I$6:$I$236,$U29)="対象外（承認済）","対象外",IF(INDEX(評価項目対応!$I$6:$I$236,$U29)="未確定","n/a",""))),"")</f>
        <v>n/a</v>
      </c>
      <c r="H29" s="25" t="str">
        <f aca="false">IF(ISBLANK(J29),"",IF(J29=5,"Yes",IF(J29=4,"Yes","No")))</f>
        <v/>
      </c>
      <c r="I29" s="18"/>
      <c r="J29" s="26"/>
      <c r="K29" s="18"/>
      <c r="L29" s="18"/>
      <c r="M29" s="11" t="str">
        <f aca="false">IF(INDEX(評価項目対応!$J$6:$J$236,$U29)="","",INDEX(評価項目対応!$J$6:$J$236,$U29))</f>
        <v/>
      </c>
      <c r="N29" s="11" t="str">
        <f aca="false">IF(INDEX(評価項目対応!$N$6:$N$236,$U29)="","",INDEX(評価項目対応!$N$6:$N$236,$U29))</f>
        <v/>
      </c>
      <c r="O29" s="11" t="str">
        <f aca="false">IF(INDEX(評価項目対応!$O$6:$O$236,$U29)="","",INDEX(評価項目対応!$O$6:$O$236,$U29))</f>
        <v/>
      </c>
      <c r="P29" s="27" t="n">
        <f aca="false">COUNTIF(F29:G29,"")+COUNTIF(I29:O29,"")-IF(AND(G29="対象外",K29=""),1,0)</f>
        <v>8</v>
      </c>
      <c r="Q29" s="11" t="str">
        <f aca="false">IF(F29="","会社名コード未設定（D4）",IF(OR(G29="",G29="n/a"),"適用性を確定（評価項目対応I列）",IF(AND(G29="対象外",OR(I29&lt;&gt;"対象外",J29&lt;&gt;"n/a")),"対象外ならR=対象外・S=n/a",IF(AND(G29="対象",OR(I29="対象外",J29="n/a")),"対象なのにR／Sが対象外・n/a",IF(AND(G29="対象",OR(I29="",J29="")),"R・Sを入力",IF(AND(ISNUMBER(J29),ISNUMBER(V29),ABS(N(J29)-N(V29))&gt;=1),"RとSの乖離（案分ならUに明記）",IF(AND(G29="対象",L29=""),"Uに制約・代替策・未検証を記載",IF(AND(G29="対象外",L29=""),"対象外の理由・承認者をUに記載",IF(OR(M29="",N29="",O29=""),"V～Xを入力",IF(P29&gt;0,"未記入あり（P列）","OK"))))))))))</f>
        <v>会社名コード未設定（D4）</v>
      </c>
      <c r="R29" s="11" t="str">
        <f aca="false">IF(INDEX(評価項目対応!$M$6:$M$236,$U29)="","",INDEX(評価項目対応!$M$6:$M$236,$U29))</f>
        <v/>
      </c>
      <c r="S29" s="11" t="str">
        <f aca="false">INDEX(評価項目対応!$H$6:$H$236,$U29)</f>
        <v>認証情報保護、保存制限、認証失敗監視を原要求と比較する。非対応機能は代替策と差分を記録する。</v>
      </c>
      <c r="T29" s="11" t="str">
        <f aca="false">TRIM(IF(INDEX(評価項目対応!$K$6:$K$236,$U29)="","","試験ID: "&amp;INDEX(評価項目対応!$K$6:$K$236,$U29)&amp;"　")&amp;IF(INDEX(評価項目対応!$L$6:$L$236,$U29)="","","判断理由: "&amp;INDEX(評価項目対応!$L$6:$L$236,$U29)))</f>
        <v/>
      </c>
      <c r="U29" s="28" t="n">
        <f aca="false">MATCH($A29,評価項目対応!$A$6:$A$236,0)</f>
        <v>23</v>
      </c>
      <c r="V29" s="28" t="str">
        <f aca="false">IFERROR(VLOOKUP(I29,$X$6:$Y$11,2,FALSE()),"")</f>
        <v/>
      </c>
    </row>
    <row r="30" customFormat="false" ht="36" hidden="false" customHeight="true" outlineLevel="0" collapsed="false">
      <c r="A30" s="13" t="n">
        <v>26</v>
      </c>
      <c r="B30" s="13" t="n">
        <f aca="false">INDEX(評価項目対応!$B$6:$B$236,$U30)</f>
        <v>82</v>
      </c>
      <c r="C30" s="13" t="str">
        <f aca="false">INDEX(評価項目対応!$F$6:$F$236,$U30)</f>
        <v>2.05</v>
      </c>
      <c r="D30" s="11" t="str">
        <f aca="false">INDEX(評価項目対応!$D$6:$D$236,$U30)</f>
        <v>パスワード管理</v>
      </c>
      <c r="E30" s="11" t="str">
        <f aca="false">INDEX(評価項目対応!$E$6:$E$236,$U30)</f>
        <v>安全なパスワードの作成と管理にパスワード管理ツールを使用する。</v>
      </c>
      <c r="F30" s="13" t="str">
        <f aca="false">IF($D$4="","",$D$4)</f>
        <v/>
      </c>
      <c r="G30" s="13" t="str">
        <f aca="false">IFERROR(IF(INDEX(評価項目対応!$I$6:$I$236,$U30)="対象","対象",IF(INDEX(評価項目対応!$I$6:$I$236,$U30)="対象外（承認済）","対象外",IF(INDEX(評価項目対応!$I$6:$I$236,$U30)="未確定","n/a",""))),"")</f>
        <v>n/a</v>
      </c>
      <c r="H30" s="25" t="str">
        <f aca="false">IF(ISBLANK(J30),"",IF(J30=5,"Yes",IF(J30=4,"Yes","No")))</f>
        <v/>
      </c>
      <c r="I30" s="18"/>
      <c r="J30" s="26"/>
      <c r="K30" s="18"/>
      <c r="L30" s="18"/>
      <c r="M30" s="11" t="str">
        <f aca="false">IF(INDEX(評価項目対応!$J$6:$J$236,$U30)="","",INDEX(評価項目対応!$J$6:$J$236,$U30))</f>
        <v/>
      </c>
      <c r="N30" s="11" t="str">
        <f aca="false">IF(INDEX(評価項目対応!$N$6:$N$236,$U30)="","",INDEX(評価項目対応!$N$6:$N$236,$U30))</f>
        <v/>
      </c>
      <c r="O30" s="11" t="str">
        <f aca="false">IF(INDEX(評価項目対応!$O$6:$O$236,$U30)="","",INDEX(評価項目対応!$O$6:$O$236,$U30))</f>
        <v/>
      </c>
      <c r="P30" s="27" t="n">
        <f aca="false">COUNTIF(F30:G30,"")+COUNTIF(I30:O30,"")-IF(AND(G30="対象外",K30=""),1,0)</f>
        <v>8</v>
      </c>
      <c r="Q30" s="11" t="str">
        <f aca="false">IF(F30="","会社名コード未設定（D4）",IF(OR(G30="",G30="n/a"),"適用性を確定（評価項目対応I列）",IF(AND(G30="対象外",OR(I30&lt;&gt;"対象外",J30&lt;&gt;"n/a")),"対象外ならR=対象外・S=n/a",IF(AND(G30="対象",OR(I30="対象外",J30="n/a")),"対象なのにR／Sが対象外・n/a",IF(AND(G30="対象",OR(I30="",J30="")),"R・Sを入力",IF(AND(ISNUMBER(J30),ISNUMBER(V30),ABS(N(J30)-N(V30))&gt;=1),"RとSの乖離（案分ならUに明記）",IF(AND(G30="対象",L30=""),"Uに制約・代替策・未検証を記載",IF(AND(G30="対象外",L30=""),"対象外の理由・承認者をUに記載",IF(OR(M30="",N30="",O30=""),"V～Xを入力",IF(P30&gt;0,"未記入あり（P列）","OK"))))))))))</f>
        <v>会社名コード未設定（D4）</v>
      </c>
      <c r="R30" s="11" t="str">
        <f aca="false">IF(INDEX(評価項目対応!$M$6:$M$236,$U30)="","",INDEX(評価項目対応!$M$6:$M$236,$U30))</f>
        <v/>
      </c>
      <c r="S30" s="11" t="str">
        <f aca="false">INDEX(評価項目対応!$H$6:$H$236,$U30)</f>
        <v>認証情報保護、保存制限、認証失敗監視を原要求と比較する。非対応機能は代替策と差分を記録する。</v>
      </c>
      <c r="T30" s="11" t="str">
        <f aca="false">TRIM(IF(INDEX(評価項目対応!$K$6:$K$236,$U30)="","","試験ID: "&amp;INDEX(評価項目対応!$K$6:$K$236,$U30)&amp;"　")&amp;IF(INDEX(評価項目対応!$L$6:$L$236,$U30)="","","判断理由: "&amp;INDEX(評価項目対応!$L$6:$L$236,$U30)))</f>
        <v/>
      </c>
      <c r="U30" s="28" t="n">
        <f aca="false">MATCH($A30,評価項目対応!$A$6:$A$236,0)</f>
        <v>24</v>
      </c>
      <c r="V30" s="28" t="str">
        <f aca="false">IFERROR(VLOOKUP(I30,$X$6:$Y$11,2,FALSE()),"")</f>
        <v/>
      </c>
    </row>
    <row r="31" customFormat="false" ht="49.5" hidden="false" customHeight="true" outlineLevel="0" collapsed="false">
      <c r="A31" s="13" t="n">
        <v>27</v>
      </c>
      <c r="B31" s="13" t="n">
        <f aca="false">INDEX(評価項目対応!$B$6:$B$236,$U31)</f>
        <v>86</v>
      </c>
      <c r="C31" s="13" t="str">
        <f aca="false">INDEX(評価項目対応!$F$6:$F$236,$U31)</f>
        <v>2.05</v>
      </c>
      <c r="D31" s="11" t="str">
        <f aca="false">INDEX(評価項目対応!$D$6:$D$236,$U31)</f>
        <v>パスワード管理</v>
      </c>
      <c r="E31" s="11" t="str">
        <f aca="false">INDEX(評価項目対応!$E$6:$E$236,$U31)</f>
        <v>グループポリシー管理コンソールでブラウザへのパスワードの保存を無効
にする。</v>
      </c>
      <c r="F31" s="13" t="str">
        <f aca="false">IF($D$4="","",$D$4)</f>
        <v/>
      </c>
      <c r="G31" s="13" t="str">
        <f aca="false">IFERROR(IF(INDEX(評価項目対応!$I$6:$I$236,$U31)="対象","対象",IF(INDEX(評価項目対応!$I$6:$I$236,$U31)="対象外（承認済）","対象外",IF(INDEX(評価項目対応!$I$6:$I$236,$U31)="未確定","n/a",""))),"")</f>
        <v>n/a</v>
      </c>
      <c r="H31" s="25" t="str">
        <f aca="false">IF(ISBLANK(J31),"",IF(J31=5,"Yes",IF(J31=4,"Yes","No")))</f>
        <v/>
      </c>
      <c r="I31" s="18"/>
      <c r="J31" s="26"/>
      <c r="K31" s="18"/>
      <c r="L31" s="18"/>
      <c r="M31" s="11" t="str">
        <f aca="false">IF(INDEX(評価項目対応!$J$6:$J$236,$U31)="","",INDEX(評価項目対応!$J$6:$J$236,$U31))</f>
        <v/>
      </c>
      <c r="N31" s="11" t="str">
        <f aca="false">IF(INDEX(評価項目対応!$N$6:$N$236,$U31)="","",INDEX(評価項目対応!$N$6:$N$236,$U31))</f>
        <v/>
      </c>
      <c r="O31" s="11" t="str">
        <f aca="false">IF(INDEX(評価項目対応!$O$6:$O$236,$U31)="","",INDEX(評価項目対応!$O$6:$O$236,$U31))</f>
        <v/>
      </c>
      <c r="P31" s="27" t="n">
        <f aca="false">COUNTIF(F31:G31,"")+COUNTIF(I31:O31,"")-IF(AND(G31="対象外",K31=""),1,0)</f>
        <v>8</v>
      </c>
      <c r="Q31" s="11" t="str">
        <f aca="false">IF(F31="","会社名コード未設定（D4）",IF(OR(G31="",G31="n/a"),"適用性を確定（評価項目対応I列）",IF(AND(G31="対象外",OR(I31&lt;&gt;"対象外",J31&lt;&gt;"n/a")),"対象外ならR=対象外・S=n/a",IF(AND(G31="対象",OR(I31="対象外",J31="n/a")),"対象なのにR／Sが対象外・n/a",IF(AND(G31="対象",OR(I31="",J31="")),"R・Sを入力",IF(AND(ISNUMBER(J31),ISNUMBER(V31),ABS(N(J31)-N(V31))&gt;=1),"RとSの乖離（案分ならUに明記）",IF(AND(G31="対象",L31=""),"Uに制約・代替策・未検証を記載",IF(AND(G31="対象外",L31=""),"対象外の理由・承認者をUに記載",IF(OR(M31="",N31="",O31=""),"V～Xを入力",IF(P31&gt;0,"未記入あり（P列）","OK"))))))))))</f>
        <v>会社名コード未設定（D4）</v>
      </c>
      <c r="R31" s="11" t="str">
        <f aca="false">IF(INDEX(評価項目対応!$M$6:$M$236,$U31)="","",INDEX(評価項目対応!$M$6:$M$236,$U31))</f>
        <v/>
      </c>
      <c r="S31" s="11" t="str">
        <f aca="false">INDEX(評価項目対応!$H$6:$H$236,$U31)</f>
        <v>認証情報保護、保存制限、認証失敗監視を原要求と比較する。非対応機能は代替策と差分を記録する。</v>
      </c>
      <c r="T31" s="11" t="str">
        <f aca="false">TRIM(IF(INDEX(評価項目対応!$K$6:$K$236,$U31)="","","試験ID: "&amp;INDEX(評価項目対応!$K$6:$K$236,$U31)&amp;"　")&amp;IF(INDEX(評価項目対応!$L$6:$L$236,$U31)="","","判断理由: "&amp;INDEX(評価項目対応!$L$6:$L$236,$U31)))</f>
        <v/>
      </c>
      <c r="U31" s="28" t="n">
        <f aca="false">MATCH($A31,評価項目対応!$A$6:$A$236,0)</f>
        <v>25</v>
      </c>
      <c r="V31" s="28" t="str">
        <f aca="false">IFERROR(VLOOKUP(I31,$X$6:$Y$11,2,FALSE()),"")</f>
        <v/>
      </c>
    </row>
    <row r="32" customFormat="false" ht="63.75" hidden="false" customHeight="true" outlineLevel="0" collapsed="false">
      <c r="A32" s="13" t="n">
        <v>28</v>
      </c>
      <c r="B32" s="13" t="n">
        <f aca="false">INDEX(評価項目対応!$B$6:$B$236,$U32)</f>
        <v>130</v>
      </c>
      <c r="C32" s="13" t="str">
        <f aca="false">INDEX(評価項目対応!$F$6:$F$236,$U32)</f>
        <v>4.04a</v>
      </c>
      <c r="D32" s="11" t="str">
        <f aca="false">INDEX(評価項目対応!$D$6:$D$236,$U32)</f>
        <v>AD管理</v>
      </c>
      <c r="E32" s="11" t="str">
        <f aca="false">INDEX(評価項目対応!$E$6:$E$236,$U32)</f>
        <v>Active Directory（AD）で過剰な権限を持つアカウントとグループメンバ
ーシップを監査する。</v>
      </c>
      <c r="F32" s="13" t="str">
        <f aca="false">IF($D$4="","",$D$4)</f>
        <v/>
      </c>
      <c r="G32" s="13" t="str">
        <f aca="false">IFERROR(IF(INDEX(評価項目対応!$I$6:$I$236,$U32)="対象","対象",IF(INDEX(評価項目対応!$I$6:$I$236,$U32)="対象外（承認済）","対象外",IF(INDEX(評価項目対応!$I$6:$I$236,$U32)="未確定","n/a",""))),"")</f>
        <v>n/a</v>
      </c>
      <c r="H32" s="25" t="str">
        <f aca="false">IF(ISBLANK(J32),"",IF(J32=5,"Yes",IF(J32=4,"Yes","No")))</f>
        <v/>
      </c>
      <c r="I32" s="18"/>
      <c r="J32" s="26"/>
      <c r="K32" s="18"/>
      <c r="L32" s="18"/>
      <c r="M32" s="11" t="str">
        <f aca="false">IF(INDEX(評価項目対応!$J$6:$J$236,$U32)="","",INDEX(評価項目対応!$J$6:$J$236,$U32))</f>
        <v/>
      </c>
      <c r="N32" s="11" t="str">
        <f aca="false">IF(INDEX(評価項目対応!$N$6:$N$236,$U32)="","",INDEX(評価項目対応!$N$6:$N$236,$U32))</f>
        <v/>
      </c>
      <c r="O32" s="11" t="str">
        <f aca="false">IF(INDEX(評価項目対応!$O$6:$O$236,$U32)="","",INDEX(評価項目対応!$O$6:$O$236,$U32))</f>
        <v/>
      </c>
      <c r="P32" s="27" t="n">
        <f aca="false">COUNTIF(F32:G32,"")+COUNTIF(I32:O32,"")-IF(AND(G32="対象外",K32=""),1,0)</f>
        <v>8</v>
      </c>
      <c r="Q32" s="11" t="str">
        <f aca="false">IF(F32="","会社名コード未設定（D4）",IF(OR(G32="",G32="n/a"),"適用性を確定（評価項目対応I列）",IF(AND(G32="対象外",OR(I32&lt;&gt;"対象外",J32&lt;&gt;"n/a")),"対象外ならR=対象外・S=n/a",IF(AND(G32="対象",OR(I32="対象外",J32="n/a")),"対象なのにR／Sが対象外・n/a",IF(AND(G32="対象",OR(I32="",J32="")),"R・Sを入力",IF(AND(ISNUMBER(J32),ISNUMBER(V32),ABS(N(J32)-N(V32))&gt;=1),"RとSの乖離（案分ならUに明記）",IF(AND(G32="対象",L32=""),"Uに制約・代替策・未検証を記載",IF(AND(G32="対象外",L32=""),"対象外の理由・承認者をUに記載",IF(OR(M32="",N32="",O32=""),"V～Xを入力",IF(P32&gt;0,"未記入あり（P列）","OK"))))))))))</f>
        <v>会社名コード未設定（D4）</v>
      </c>
      <c r="R32" s="11" t="str">
        <f aca="false">IF(INDEX(評価項目対応!$M$6:$M$236,$U32)="","",INDEX(評価項目対応!$M$6:$M$236,$U32))</f>
        <v/>
      </c>
      <c r="S32" s="11" t="str">
        <f aca="false">INDEX(評価項目対応!$H$6:$H$236,$U32)</f>
        <v>Windows固有の要件（PowerShell、LSASS、資格情報保護等）。ChromeOS端末は非該当だが、接続先のAD／Windows環境に適用し得るため既存証跡を確認する。対象外にする場合は理由と承認者を記録する。</v>
      </c>
      <c r="T32" s="11" t="str">
        <f aca="false">TRIM(IF(INDEX(評価項目対応!$K$6:$K$236,$U32)="","","試験ID: "&amp;INDEX(評価項目対応!$K$6:$K$236,$U32)&amp;"　")&amp;IF(INDEX(評価項目対応!$L$6:$L$236,$U32)="","","判断理由: "&amp;INDEX(評価項目対応!$L$6:$L$236,$U32)))</f>
        <v/>
      </c>
      <c r="U32" s="28" t="n">
        <f aca="false">MATCH($A32,評価項目対応!$A$6:$A$236,0)</f>
        <v>26</v>
      </c>
      <c r="V32" s="28" t="str">
        <f aca="false">IFERROR(VLOOKUP(I32,$X$6:$Y$11,2,FALSE()),"")</f>
        <v/>
      </c>
    </row>
    <row r="33" customFormat="false" ht="63.75" hidden="false" customHeight="true" outlineLevel="0" collapsed="false">
      <c r="A33" s="13" t="n">
        <v>29</v>
      </c>
      <c r="B33" s="13" t="n">
        <f aca="false">INDEX(評価項目対応!$B$6:$B$236,$U33)</f>
        <v>131</v>
      </c>
      <c r="C33" s="13" t="str">
        <f aca="false">INDEX(評価項目対応!$F$6:$F$236,$U33)</f>
        <v>4.04a</v>
      </c>
      <c r="D33" s="11" t="str">
        <f aca="false">INDEX(評価項目対応!$D$6:$D$236,$U33)</f>
        <v>AD管理</v>
      </c>
      <c r="E33" s="11" t="str">
        <f aca="false">INDEX(評価項目対応!$E$6:$E$236,$U33)</f>
        <v>Windowsドメインで、ハッシュ攻撃に対する特権ユーザーアカウントのさ
らなる保護のためにProtected Users ADグループを使用する。</v>
      </c>
      <c r="F33" s="13" t="str">
        <f aca="false">IF($D$4="","",$D$4)</f>
        <v/>
      </c>
      <c r="G33" s="13" t="str">
        <f aca="false">IFERROR(IF(INDEX(評価項目対応!$I$6:$I$236,$U33)="対象","対象",IF(INDEX(評価項目対応!$I$6:$I$236,$U33)="対象外（承認済）","対象外",IF(INDEX(評価項目対応!$I$6:$I$236,$U33)="未確定","n/a",""))),"")</f>
        <v>n/a</v>
      </c>
      <c r="H33" s="25" t="str">
        <f aca="false">IF(ISBLANK(J33),"",IF(J33=5,"Yes",IF(J33=4,"Yes","No")))</f>
        <v/>
      </c>
      <c r="I33" s="18"/>
      <c r="J33" s="26"/>
      <c r="K33" s="18"/>
      <c r="L33" s="18"/>
      <c r="M33" s="11" t="str">
        <f aca="false">IF(INDEX(評価項目対応!$J$6:$J$236,$U33)="","",INDEX(評価項目対応!$J$6:$J$236,$U33))</f>
        <v/>
      </c>
      <c r="N33" s="11" t="str">
        <f aca="false">IF(INDEX(評価項目対応!$N$6:$N$236,$U33)="","",INDEX(評価項目対応!$N$6:$N$236,$U33))</f>
        <v/>
      </c>
      <c r="O33" s="11" t="str">
        <f aca="false">IF(INDEX(評価項目対応!$O$6:$O$236,$U33)="","",INDEX(評価項目対応!$O$6:$O$236,$U33))</f>
        <v/>
      </c>
      <c r="P33" s="27" t="n">
        <f aca="false">COUNTIF(F33:G33,"")+COUNTIF(I33:O33,"")-IF(AND(G33="対象外",K33=""),1,0)</f>
        <v>8</v>
      </c>
      <c r="Q33" s="11" t="str">
        <f aca="false">IF(F33="","会社名コード未設定（D4）",IF(OR(G33="",G33="n/a"),"適用性を確定（評価項目対応I列）",IF(AND(G33="対象外",OR(I33&lt;&gt;"対象外",J33&lt;&gt;"n/a")),"対象外ならR=対象外・S=n/a",IF(AND(G33="対象",OR(I33="対象外",J33="n/a")),"対象なのにR／Sが対象外・n/a",IF(AND(G33="対象",OR(I33="",J33="")),"R・Sを入力",IF(AND(ISNUMBER(J33),ISNUMBER(V33),ABS(N(J33)-N(V33))&gt;=1),"RとSの乖離（案分ならUに明記）",IF(AND(G33="対象",L33=""),"Uに制約・代替策・未検証を記載",IF(AND(G33="対象外",L33=""),"対象外の理由・承認者をUに記載",IF(OR(M33="",N33="",O33=""),"V～Xを入力",IF(P33&gt;0,"未記入あり（P列）","OK"))))))))))</f>
        <v>会社名コード未設定（D4）</v>
      </c>
      <c r="R33" s="11" t="str">
        <f aca="false">IF(INDEX(評価項目対応!$M$6:$M$236,$U33)="","",INDEX(評価項目対応!$M$6:$M$236,$U33))</f>
        <v/>
      </c>
      <c r="S33" s="11" t="str">
        <f aca="false">INDEX(評価項目対応!$H$6:$H$236,$U33)</f>
        <v>Windows固有の要件（PowerShell、LSASS、資格情報保護等）。ChromeOS端末は非該当だが、接続先のAD／Windows環境に適用し得るため既存証跡を確認する。対象外にする場合は理由と承認者を記録する。</v>
      </c>
      <c r="T33" s="11" t="str">
        <f aca="false">TRIM(IF(INDEX(評価項目対応!$K$6:$K$236,$U33)="","","試験ID: "&amp;INDEX(評価項目対応!$K$6:$K$236,$U33)&amp;"　")&amp;IF(INDEX(評価項目対応!$L$6:$L$236,$U33)="","","判断理由: "&amp;INDEX(評価項目対応!$L$6:$L$236,$U33)))</f>
        <v/>
      </c>
      <c r="U33" s="28" t="n">
        <f aca="false">MATCH($A33,評価項目対応!$A$6:$A$236,0)</f>
        <v>27</v>
      </c>
      <c r="V33" s="28" t="str">
        <f aca="false">IFERROR(VLOOKUP(I33,$X$6:$Y$11,2,FALSE()),"")</f>
        <v/>
      </c>
    </row>
    <row r="34" customFormat="false" ht="63.75" hidden="false" customHeight="true" outlineLevel="0" collapsed="false">
      <c r="A34" s="13" t="n">
        <v>30</v>
      </c>
      <c r="B34" s="13" t="n">
        <f aca="false">INDEX(評価項目対応!$B$6:$B$236,$U34)</f>
        <v>156</v>
      </c>
      <c r="C34" s="13" t="str">
        <f aca="false">INDEX(評価項目対応!$F$6:$F$236,$U34)</f>
        <v>4.04a</v>
      </c>
      <c r="D34" s="11" t="str">
        <f aca="false">INDEX(評価項目対応!$D$6:$D$236,$U34)</f>
        <v>データセンター管理</v>
      </c>
      <c r="E34" s="11" t="str">
        <f aca="false">INDEX(評価項目対応!$E$6:$E$236,$U34)</f>
        <v>データセンター へのアクセスを管理者グループに制限する。</v>
      </c>
      <c r="F34" s="13" t="str">
        <f aca="false">IF($D$4="","",$D$4)</f>
        <v/>
      </c>
      <c r="G34" s="13" t="str">
        <f aca="false">IFERROR(IF(INDEX(評価項目対応!$I$6:$I$236,$U34)="対象","対象",IF(INDEX(評価項目対応!$I$6:$I$236,$U34)="対象外（承認済）","対象外",IF(INDEX(評価項目対応!$I$6:$I$236,$U34)="未確定","n/a",""))),"")</f>
        <v>n/a</v>
      </c>
      <c r="H34" s="25" t="str">
        <f aca="false">IF(ISBLANK(J34),"",IF(J34=5,"Yes",IF(J34=4,"Yes","No")))</f>
        <v/>
      </c>
      <c r="I34" s="18"/>
      <c r="J34" s="26"/>
      <c r="K34" s="18"/>
      <c r="L34" s="18"/>
      <c r="M34" s="11" t="str">
        <f aca="false">IF(INDEX(評価項目対応!$J$6:$J$236,$U34)="","",INDEX(評価項目対応!$J$6:$J$236,$U34))</f>
        <v/>
      </c>
      <c r="N34" s="11" t="str">
        <f aca="false">IF(INDEX(評価項目対応!$N$6:$N$236,$U34)="","",INDEX(評価項目対応!$N$6:$N$236,$U34))</f>
        <v/>
      </c>
      <c r="O34" s="11" t="str">
        <f aca="false">IF(INDEX(評価項目対応!$O$6:$O$236,$U34)="","",INDEX(評価項目対応!$O$6:$O$236,$U34))</f>
        <v/>
      </c>
      <c r="P34" s="27" t="n">
        <f aca="false">COUNTIF(F34:G34,"")+COUNTIF(I34:O34,"")-IF(AND(G34="対象外",K34=""),1,0)</f>
        <v>8</v>
      </c>
      <c r="Q34" s="11" t="str">
        <f aca="false">IF(F34="","会社名コード未設定（D4）",IF(OR(G34="",G34="n/a"),"適用性を確定（評価項目対応I列）",IF(AND(G34="対象外",OR(I34&lt;&gt;"対象外",J34&lt;&gt;"n/a")),"対象外ならR=対象外・S=n/a",IF(AND(G34="対象",OR(I34="対象外",J34="n/a")),"対象なのにR／Sが対象外・n/a",IF(AND(G34="対象",OR(I34="",J34="")),"R・Sを入力",IF(AND(ISNUMBER(J34),ISNUMBER(V34),ABS(N(J34)-N(V34))&gt;=1),"RとSの乖離（案分ならUに明記）",IF(AND(G34="対象",L34=""),"Uに制約・代替策・未検証を記載",IF(AND(G34="対象外",L34=""),"対象外の理由・承認者をUに記載",IF(OR(M34="",N34="",O34=""),"V～Xを入力",IF(P34&gt;0,"未記入あり（P列）","OK"))))))))))</f>
        <v>会社名コード未設定（D4）</v>
      </c>
      <c r="R34" s="11" t="str">
        <f aca="false">IF(INDEX(評価項目対応!$M$6:$M$236,$U34)="","",INDEX(評価項目対応!$M$6:$M$236,$U34))</f>
        <v/>
      </c>
      <c r="S34" s="11" t="str">
        <f aca="false">INDEX(評価項目対応!$H$6:$H$236,$U34)</f>
        <v>原票の「データセンター」表記は原文のDC（Domain Controller）の訳。ADドメインコントローラーの設定・パッチ・監視の既存証跡を担当者から受領する。ChromeOS利用だけで対象外にしない。</v>
      </c>
      <c r="T34" s="11" t="str">
        <f aca="false">TRIM(IF(INDEX(評価項目対応!$K$6:$K$236,$U34)="","","試験ID: "&amp;INDEX(評価項目対応!$K$6:$K$236,$U34)&amp;"　")&amp;IF(INDEX(評価項目対応!$L$6:$L$236,$U34)="","","判断理由: "&amp;INDEX(評価項目対応!$L$6:$L$236,$U34)))</f>
        <v/>
      </c>
      <c r="U34" s="28" t="n">
        <f aca="false">MATCH($A34,評価項目対応!$A$6:$A$236,0)</f>
        <v>28</v>
      </c>
      <c r="V34" s="28" t="str">
        <f aca="false">IFERROR(VLOOKUP(I34,$X$6:$Y$11,2,FALSE()),"")</f>
        <v/>
      </c>
    </row>
    <row r="35" customFormat="false" ht="63.75" hidden="false" customHeight="true" outlineLevel="0" collapsed="false">
      <c r="A35" s="13" t="n">
        <v>31</v>
      </c>
      <c r="B35" s="13" t="n">
        <f aca="false">INDEX(評価項目対応!$B$6:$B$236,$U35)</f>
        <v>157</v>
      </c>
      <c r="C35" s="13" t="str">
        <f aca="false">INDEX(評価項目対応!$F$6:$F$236,$U35)</f>
        <v>4.04a</v>
      </c>
      <c r="D35" s="11" t="str">
        <f aca="false">INDEX(評価項目対応!$D$6:$D$236,$U35)</f>
        <v>データセンター管理</v>
      </c>
      <c r="E35" s="11" t="str">
        <f aca="false">INDEX(評価項目対応!$E$6:$E$236,$U35)</f>
        <v>データセンター へのアクセスを管理者グループ内のユーザーは制限し、
非管理者権限で日常業務に使用する別のアカウントを持つ。</v>
      </c>
      <c r="F35" s="13" t="str">
        <f aca="false">IF($D$4="","",$D$4)</f>
        <v/>
      </c>
      <c r="G35" s="13" t="str">
        <f aca="false">IFERROR(IF(INDEX(評価項目対応!$I$6:$I$236,$U35)="対象","対象",IF(INDEX(評価項目対応!$I$6:$I$236,$U35)="対象外（承認済）","対象外",IF(INDEX(評価項目対応!$I$6:$I$236,$U35)="未確定","n/a",""))),"")</f>
        <v>n/a</v>
      </c>
      <c r="H35" s="25" t="str">
        <f aca="false">IF(ISBLANK(J35),"",IF(J35=5,"Yes",IF(J35=4,"Yes","No")))</f>
        <v/>
      </c>
      <c r="I35" s="18"/>
      <c r="J35" s="26"/>
      <c r="K35" s="18"/>
      <c r="L35" s="18"/>
      <c r="M35" s="11" t="str">
        <f aca="false">IF(INDEX(評価項目対応!$J$6:$J$236,$U35)="","",INDEX(評価項目対応!$J$6:$J$236,$U35))</f>
        <v/>
      </c>
      <c r="N35" s="11" t="str">
        <f aca="false">IF(INDEX(評価項目対応!$N$6:$N$236,$U35)="","",INDEX(評価項目対応!$N$6:$N$236,$U35))</f>
        <v/>
      </c>
      <c r="O35" s="11" t="str">
        <f aca="false">IF(INDEX(評価項目対応!$O$6:$O$236,$U35)="","",INDEX(評価項目対応!$O$6:$O$236,$U35))</f>
        <v/>
      </c>
      <c r="P35" s="27" t="n">
        <f aca="false">COUNTIF(F35:G35,"")+COUNTIF(I35:O35,"")-IF(AND(G35="対象外",K35=""),1,0)</f>
        <v>8</v>
      </c>
      <c r="Q35" s="11" t="str">
        <f aca="false">IF(F35="","会社名コード未設定（D4）",IF(OR(G35="",G35="n/a"),"適用性を確定（評価項目対応I列）",IF(AND(G35="対象外",OR(I35&lt;&gt;"対象外",J35&lt;&gt;"n/a")),"対象外ならR=対象外・S=n/a",IF(AND(G35="対象",OR(I35="対象外",J35="n/a")),"対象なのにR／Sが対象外・n/a",IF(AND(G35="対象",OR(I35="",J35="")),"R・Sを入力",IF(AND(ISNUMBER(J35),ISNUMBER(V35),ABS(N(J35)-N(V35))&gt;=1),"RとSの乖離（案分ならUに明記）",IF(AND(G35="対象",L35=""),"Uに制約・代替策・未検証を記載",IF(AND(G35="対象外",L35=""),"対象外の理由・承認者をUに記載",IF(OR(M35="",N35="",O35=""),"V～Xを入力",IF(P35&gt;0,"未記入あり（P列）","OK"))))))))))</f>
        <v>会社名コード未設定（D4）</v>
      </c>
      <c r="R35" s="11" t="str">
        <f aca="false">IF(INDEX(評価項目対応!$M$6:$M$236,$U35)="","",INDEX(評価項目対応!$M$6:$M$236,$U35))</f>
        <v/>
      </c>
      <c r="S35" s="11" t="str">
        <f aca="false">INDEX(評価項目対応!$H$6:$H$236,$U35)</f>
        <v>原票の「データセンター」表記は原文のDC（Domain Controller）の訳。ADドメインコントローラーの設定・パッチ・監視の既存証跡を担当者から受領する。ChromeOS利用だけで対象外にしない。</v>
      </c>
      <c r="T35" s="11" t="str">
        <f aca="false">TRIM(IF(INDEX(評価項目対応!$K$6:$K$236,$U35)="","","試験ID: "&amp;INDEX(評価項目対応!$K$6:$K$236,$U35)&amp;"　")&amp;IF(INDEX(評価項目対応!$L$6:$L$236,$U35)="","","判断理由: "&amp;INDEX(評価項目対応!$L$6:$L$236,$U35)))</f>
        <v/>
      </c>
      <c r="U35" s="28" t="n">
        <f aca="false">MATCH($A35,評価項目対応!$A$6:$A$236,0)</f>
        <v>29</v>
      </c>
      <c r="V35" s="28" t="str">
        <f aca="false">IFERROR(VLOOKUP(I35,$X$6:$Y$11,2,FALSE()),"")</f>
        <v/>
      </c>
    </row>
    <row r="36" customFormat="false" ht="63.75" hidden="false" customHeight="true" outlineLevel="0" collapsed="false">
      <c r="A36" s="13" t="n">
        <v>32</v>
      </c>
      <c r="B36" s="13" t="n">
        <f aca="false">INDEX(評価項目対応!$B$6:$B$236,$U36)</f>
        <v>158</v>
      </c>
      <c r="C36" s="13" t="str">
        <f aca="false">INDEX(評価項目対応!$F$6:$F$236,$U36)</f>
        <v>4.04a</v>
      </c>
      <c r="D36" s="11" t="str">
        <f aca="false">INDEX(評価項目対応!$D$6:$D$236,$U36)</f>
        <v>データセンター管理</v>
      </c>
      <c r="E36" s="11" t="str">
        <f aca="false">INDEX(評価項目対応!$E$6:$E$236,$U36)</f>
        <v>指定された管理者アカウントは、管理目的でのみ使用する。</v>
      </c>
      <c r="F36" s="13" t="str">
        <f aca="false">IF($D$4="","",$D$4)</f>
        <v/>
      </c>
      <c r="G36" s="13" t="str">
        <f aca="false">IFERROR(IF(INDEX(評価項目対応!$I$6:$I$236,$U36)="対象","対象",IF(INDEX(評価項目対応!$I$6:$I$236,$U36)="対象外（承認済）","対象外",IF(INDEX(評価項目対応!$I$6:$I$236,$U36)="未確定","n/a",""))),"")</f>
        <v>n/a</v>
      </c>
      <c r="H36" s="25" t="str">
        <f aca="false">IF(ISBLANK(J36),"",IF(J36=5,"Yes",IF(J36=4,"Yes","No")))</f>
        <v/>
      </c>
      <c r="I36" s="18"/>
      <c r="J36" s="26"/>
      <c r="K36" s="18"/>
      <c r="L36" s="18"/>
      <c r="M36" s="11" t="str">
        <f aca="false">IF(INDEX(評価項目対応!$J$6:$J$236,$U36)="","",INDEX(評価項目対応!$J$6:$J$236,$U36))</f>
        <v/>
      </c>
      <c r="N36" s="11" t="str">
        <f aca="false">IF(INDEX(評価項目対応!$N$6:$N$236,$U36)="","",INDEX(評価項目対応!$N$6:$N$236,$U36))</f>
        <v/>
      </c>
      <c r="O36" s="11" t="str">
        <f aca="false">IF(INDEX(評価項目対応!$O$6:$O$236,$U36)="","",INDEX(評価項目対応!$O$6:$O$236,$U36))</f>
        <v/>
      </c>
      <c r="P36" s="27" t="n">
        <f aca="false">COUNTIF(F36:G36,"")+COUNTIF(I36:O36,"")-IF(AND(G36="対象外",K36=""),1,0)</f>
        <v>8</v>
      </c>
      <c r="Q36" s="11" t="str">
        <f aca="false">IF(F36="","会社名コード未設定（D4）",IF(OR(G36="",G36="n/a"),"適用性を確定（評価項目対応I列）",IF(AND(G36="対象外",OR(I36&lt;&gt;"対象外",J36&lt;&gt;"n/a")),"対象外ならR=対象外・S=n/a",IF(AND(G36="対象",OR(I36="対象外",J36="n/a")),"対象なのにR／Sが対象外・n/a",IF(AND(G36="対象",OR(I36="",J36="")),"R・Sを入力",IF(AND(ISNUMBER(J36),ISNUMBER(V36),ABS(N(J36)-N(V36))&gt;=1),"RとSの乖離（案分ならUに明記）",IF(AND(G36="対象",L36=""),"Uに制約・代替策・未検証を記載",IF(AND(G36="対象外",L36=""),"対象外の理由・承認者をUに記載",IF(OR(M36="",N36="",O36=""),"V～Xを入力",IF(P36&gt;0,"未記入あり（P列）","OK"))))))))))</f>
        <v>会社名コード未設定（D4）</v>
      </c>
      <c r="R36" s="11" t="str">
        <f aca="false">IF(INDEX(評価項目対応!$M$6:$M$236,$U36)="","",INDEX(評価項目対応!$M$6:$M$236,$U36))</f>
        <v/>
      </c>
      <c r="S36" s="11" t="str">
        <f aca="false">INDEX(評価項目対応!$H$6:$H$236,$U36)</f>
        <v>原票の「データセンター」表記は原文のDC（Domain Controller）の訳。ADドメインコントローラーの設定・パッチ・監視の既存証跡を担当者から受領する。ChromeOS利用だけで対象外にしない。</v>
      </c>
      <c r="T36" s="11" t="str">
        <f aca="false">TRIM(IF(INDEX(評価項目対応!$K$6:$K$236,$U36)="","","試験ID: "&amp;INDEX(評価項目対応!$K$6:$K$236,$U36)&amp;"　")&amp;IF(INDEX(評価項目対応!$L$6:$L$236,$U36)="","","判断理由: "&amp;INDEX(評価項目対応!$L$6:$L$236,$U36)))</f>
        <v/>
      </c>
      <c r="U36" s="28" t="n">
        <f aca="false">MATCH($A36,評価項目対応!$A$6:$A$236,0)</f>
        <v>30</v>
      </c>
      <c r="V36" s="28" t="str">
        <f aca="false">IFERROR(VLOOKUP(I36,$X$6:$Y$11,2,FALSE()),"")</f>
        <v/>
      </c>
    </row>
    <row r="37" customFormat="false" ht="63.75" hidden="false" customHeight="true" outlineLevel="0" collapsed="false">
      <c r="A37" s="13" t="n">
        <v>33</v>
      </c>
      <c r="B37" s="13" t="n">
        <f aca="false">INDEX(評価項目対応!$B$6:$B$236,$U37)</f>
        <v>162</v>
      </c>
      <c r="C37" s="13" t="str">
        <f aca="false">INDEX(評価項目対応!$F$6:$F$236,$U37)</f>
        <v>4.04a</v>
      </c>
      <c r="D37" s="11" t="str">
        <f aca="false">INDEX(評価項目対応!$D$6:$D$236,$U37)</f>
        <v>データセンター管理</v>
      </c>
      <c r="E37" s="11" t="str">
        <f aca="false">INDEX(評価項目対応!$E$6:$E$236,$U37)</f>
        <v>特権アクセスを管理および監視するために、データセンターに特権アクセ
ス管理（PAM）ソリューションを実装する。</v>
      </c>
      <c r="F37" s="13" t="str">
        <f aca="false">IF($D$4="","",$D$4)</f>
        <v/>
      </c>
      <c r="G37" s="13" t="str">
        <f aca="false">IFERROR(IF(INDEX(評価項目対応!$I$6:$I$236,$U37)="対象","対象",IF(INDEX(評価項目対応!$I$6:$I$236,$U37)="対象外（承認済）","対象外",IF(INDEX(評価項目対応!$I$6:$I$236,$U37)="未確定","n/a",""))),"")</f>
        <v>n/a</v>
      </c>
      <c r="H37" s="25" t="str">
        <f aca="false">IF(ISBLANK(J37),"",IF(J37=5,"Yes",IF(J37=4,"Yes","No")))</f>
        <v/>
      </c>
      <c r="I37" s="18"/>
      <c r="J37" s="26"/>
      <c r="K37" s="18"/>
      <c r="L37" s="18"/>
      <c r="M37" s="11" t="str">
        <f aca="false">IF(INDEX(評価項目対応!$J$6:$J$236,$U37)="","",INDEX(評価項目対応!$J$6:$J$236,$U37))</f>
        <v/>
      </c>
      <c r="N37" s="11" t="str">
        <f aca="false">IF(INDEX(評価項目対応!$N$6:$N$236,$U37)="","",INDEX(評価項目対応!$N$6:$N$236,$U37))</f>
        <v/>
      </c>
      <c r="O37" s="11" t="str">
        <f aca="false">IF(INDEX(評価項目対応!$O$6:$O$236,$U37)="","",INDEX(評価項目対応!$O$6:$O$236,$U37))</f>
        <v/>
      </c>
      <c r="P37" s="27" t="n">
        <f aca="false">COUNTIF(F37:G37,"")+COUNTIF(I37:O37,"")-IF(AND(G37="対象外",K37=""),1,0)</f>
        <v>8</v>
      </c>
      <c r="Q37" s="11" t="str">
        <f aca="false">IF(F37="","会社名コード未設定（D4）",IF(OR(G37="",G37="n/a"),"適用性を確定（評価項目対応I列）",IF(AND(G37="対象外",OR(I37&lt;&gt;"対象外",J37&lt;&gt;"n/a")),"対象外ならR=対象外・S=n/a",IF(AND(G37="対象",OR(I37="対象外",J37="n/a")),"対象なのにR／Sが対象外・n/a",IF(AND(G37="対象",OR(I37="",J37="")),"R・Sを入力",IF(AND(ISNUMBER(J37),ISNUMBER(V37),ABS(N(J37)-N(V37))&gt;=1),"RとSの乖離（案分ならUに明記）",IF(AND(G37="対象",L37=""),"Uに制約・代替策・未検証を記載",IF(AND(G37="対象外",L37=""),"対象外の理由・承認者をUに記載",IF(OR(M37="",N37="",O37=""),"V～Xを入力",IF(P37&gt;0,"未記入あり（P列）","OK"))))))))))</f>
        <v>会社名コード未設定（D4）</v>
      </c>
      <c r="R37" s="11" t="str">
        <f aca="false">IF(INDEX(評価項目対応!$M$6:$M$236,$U37)="","",INDEX(評価項目対応!$M$6:$M$236,$U37))</f>
        <v/>
      </c>
      <c r="S37" s="11" t="str">
        <f aca="false">INDEX(評価項目対応!$H$6:$H$236,$U37)</f>
        <v>原票の「データセンター」表記は原文のDC（Domain Controller）の訳。ADドメインコントローラーの設定・パッチ・監視の既存証跡を担当者から受領する。ChromeOS利用だけで対象外にしない。</v>
      </c>
      <c r="T37" s="11" t="str">
        <f aca="false">TRIM(IF(INDEX(評価項目対応!$K$6:$K$236,$U37)="","","試験ID: "&amp;INDEX(評価項目対応!$K$6:$K$236,$U37)&amp;"　")&amp;IF(INDEX(評価項目対応!$L$6:$L$236,$U37)="","","判断理由: "&amp;INDEX(評価項目対応!$L$6:$L$236,$U37)))</f>
        <v/>
      </c>
      <c r="U37" s="28" t="n">
        <f aca="false">MATCH($A37,評価項目対応!$A$6:$A$236,0)</f>
        <v>31</v>
      </c>
      <c r="V37" s="28" t="str">
        <f aca="false">IFERROR(VLOOKUP(I37,$X$6:$Y$11,2,FALSE()),"")</f>
        <v/>
      </c>
    </row>
    <row r="38" customFormat="false" ht="91.5" hidden="false" customHeight="true" outlineLevel="0" collapsed="false">
      <c r="A38" s="13" t="n">
        <v>34</v>
      </c>
      <c r="B38" s="13" t="n">
        <f aca="false">INDEX(評価項目対応!$B$6:$B$236,$U38)</f>
        <v>146</v>
      </c>
      <c r="C38" s="13" t="str">
        <f aca="false">INDEX(評価項目対応!$F$6:$F$236,$U38)</f>
        <v>4.04a</v>
      </c>
      <c r="D38" s="11" t="str">
        <f aca="false">INDEX(評価項目対応!$D$6:$D$236,$U38)</f>
        <v>PowerShellの管理</v>
      </c>
      <c r="E38" s="11" t="str">
        <f aca="false">INDEX(評価項目対応!$E$6:$E$236,$U38)</f>
        <v>グループポリシーを使用して、PowerShellの使用を個別に事例ごとに特定
のユーザーに制限する。
（通常、PowerShellの使用が許可されているのは、ネットワークまたはWi
ndows OSを管理するユーザーまたは管理者のみ。）</v>
      </c>
      <c r="F38" s="13" t="str">
        <f aca="false">IF($D$4="","",$D$4)</f>
        <v/>
      </c>
      <c r="G38" s="13" t="str">
        <f aca="false">IFERROR(IF(INDEX(評価項目対応!$I$6:$I$236,$U38)="対象","対象",IF(INDEX(評価項目対応!$I$6:$I$236,$U38)="対象外（承認済）","対象外",IF(INDEX(評価項目対応!$I$6:$I$236,$U38)="未確定","n/a",""))),"")</f>
        <v>n/a</v>
      </c>
      <c r="H38" s="25" t="str">
        <f aca="false">IF(ISBLANK(J38),"",IF(J38=5,"Yes",IF(J38=4,"Yes","No")))</f>
        <v/>
      </c>
      <c r="I38" s="18"/>
      <c r="J38" s="26"/>
      <c r="K38" s="18"/>
      <c r="L38" s="18"/>
      <c r="M38" s="11" t="str">
        <f aca="false">IF(INDEX(評価項目対応!$J$6:$J$236,$U38)="","",INDEX(評価項目対応!$J$6:$J$236,$U38))</f>
        <v/>
      </c>
      <c r="N38" s="11" t="str">
        <f aca="false">IF(INDEX(評価項目対応!$N$6:$N$236,$U38)="","",INDEX(評価項目対応!$N$6:$N$236,$U38))</f>
        <v/>
      </c>
      <c r="O38" s="11" t="str">
        <f aca="false">IF(INDEX(評価項目対応!$O$6:$O$236,$U38)="","",INDEX(評価項目対応!$O$6:$O$236,$U38))</f>
        <v/>
      </c>
      <c r="P38" s="27" t="n">
        <f aca="false">COUNTIF(F38:G38,"")+COUNTIF(I38:O38,"")-IF(AND(G38="対象外",K38=""),1,0)</f>
        <v>8</v>
      </c>
      <c r="Q38" s="11" t="str">
        <f aca="false">IF(F38="","会社名コード未設定（D4）",IF(OR(G38="",G38="n/a"),"適用性を確定（評価項目対応I列）",IF(AND(G38="対象外",OR(I38&lt;&gt;"対象外",J38&lt;&gt;"n/a")),"対象外ならR=対象外・S=n/a",IF(AND(G38="対象",OR(I38="対象外",J38="n/a")),"対象なのにR／Sが対象外・n/a",IF(AND(G38="対象",OR(I38="",J38="")),"R・Sを入力",IF(AND(ISNUMBER(J38),ISNUMBER(V38),ABS(N(J38)-N(V38))&gt;=1),"RとSの乖離（案分ならUに明記）",IF(AND(G38="対象",L38=""),"Uに制約・代替策・未検証を記載",IF(AND(G38="対象外",L38=""),"対象外の理由・承認者をUに記載",IF(OR(M38="",N38="",O38=""),"V～Xを入力",IF(P38&gt;0,"未記入あり（P列）","OK"))))))))))</f>
        <v>会社名コード未設定（D4）</v>
      </c>
      <c r="R38" s="11" t="str">
        <f aca="false">IF(INDEX(評価項目対応!$M$6:$M$236,$U38)="","",INDEX(評価項目対応!$M$6:$M$236,$U38))</f>
        <v/>
      </c>
      <c r="S38" s="11" t="str">
        <f aca="false">INDEX(評価項目対応!$H$6:$H$236,$U38)</f>
        <v>Windows固有の要件（PowerShell、LSASS、資格情報保護等）。ChromeOS端末は非該当だが、接続先のAD／Windows環境に適用し得るため既存証跡を確認する。対象外にする場合は理由と承認者を記録する。</v>
      </c>
      <c r="T38" s="11" t="str">
        <f aca="false">TRIM(IF(INDEX(評価項目対応!$K$6:$K$236,$U38)="","","試験ID: "&amp;INDEX(評価項目対応!$K$6:$K$236,$U38)&amp;"　")&amp;IF(INDEX(評価項目対応!$L$6:$L$236,$U38)="","","判断理由: "&amp;INDEX(評価項目対応!$L$6:$L$236,$U38)))</f>
        <v/>
      </c>
      <c r="U38" s="28" t="n">
        <f aca="false">MATCH($A38,評価項目対応!$A$6:$A$236,0)</f>
        <v>32</v>
      </c>
      <c r="V38" s="28" t="str">
        <f aca="false">IFERROR(VLOOKUP(I38,$X$6:$Y$11,2,FALSE()),"")</f>
        <v/>
      </c>
    </row>
    <row r="39" customFormat="false" ht="105.75" hidden="false" customHeight="true" outlineLevel="0" collapsed="false">
      <c r="A39" s="13" t="n">
        <v>35</v>
      </c>
      <c r="B39" s="13" t="n">
        <f aca="false">INDEX(評価項目対応!$B$6:$B$236,$U39)</f>
        <v>76</v>
      </c>
      <c r="C39" s="13" t="str">
        <f aca="false">INDEX(評価項目対応!$F$6:$F$236,$U39)</f>
        <v>2.06</v>
      </c>
      <c r="D39" s="11" t="str">
        <f aca="false">INDEX(評価項目対応!$D$6:$D$236,$U39)</f>
        <v>アカウント管理</v>
      </c>
      <c r="E39" s="11" t="str">
        <f aca="false">INDEX(評価項目対応!$E$6:$E$236,$U39)</f>
        <v>オンプレミスおよびクラウドアプリケーションの個々のネットワークエン
ティティの役割とアクセス権限を監視および管理するためのツールとテク
ノロジーを管理者に提供するために、IDおよびアクセス管理（IAM）シス
テムを実装する。</v>
      </c>
      <c r="F39" s="13" t="str">
        <f aca="false">IF($D$4="","",$D$4)</f>
        <v/>
      </c>
      <c r="G39" s="13" t="str">
        <f aca="false">IFERROR(IF(INDEX(評価項目対応!$I$6:$I$236,$U39)="対象","対象",IF(INDEX(評価項目対応!$I$6:$I$236,$U39)="対象外（承認済）","対象外",IF(INDEX(評価項目対応!$I$6:$I$236,$U39)="未確定","n/a",""))),"")</f>
        <v>n/a</v>
      </c>
      <c r="H39" s="25" t="str">
        <f aca="false">IF(ISBLANK(J39),"",IF(J39=5,"Yes",IF(J39=4,"Yes","No")))</f>
        <v/>
      </c>
      <c r="I39" s="18"/>
      <c r="J39" s="26"/>
      <c r="K39" s="18"/>
      <c r="L39" s="18"/>
      <c r="M39" s="11" t="str">
        <f aca="false">IF(INDEX(評価項目対応!$J$6:$J$236,$U39)="","",INDEX(評価項目対応!$J$6:$J$236,$U39))</f>
        <v/>
      </c>
      <c r="N39" s="11" t="str">
        <f aca="false">IF(INDEX(評価項目対応!$N$6:$N$236,$U39)="","",INDEX(評価項目対応!$N$6:$N$236,$U39))</f>
        <v/>
      </c>
      <c r="O39" s="11" t="str">
        <f aca="false">IF(INDEX(評価項目対応!$O$6:$O$236,$U39)="","",INDEX(評価項目対応!$O$6:$O$236,$U39))</f>
        <v/>
      </c>
      <c r="P39" s="27" t="n">
        <f aca="false">COUNTIF(F39:G39,"")+COUNTIF(I39:O39,"")-IF(AND(G39="対象外",K39=""),1,0)</f>
        <v>8</v>
      </c>
      <c r="Q39" s="11" t="str">
        <f aca="false">IF(F39="","会社名コード未設定（D4）",IF(OR(G39="",G39="n/a"),"適用性を確定（評価項目対応I列）",IF(AND(G39="対象外",OR(I39&lt;&gt;"対象外",J39&lt;&gt;"n/a")),"対象外ならR=対象外・S=n/a",IF(AND(G39="対象",OR(I39="対象外",J39="n/a")),"対象なのにR／Sが対象外・n/a",IF(AND(G39="対象",OR(I39="",J39="")),"R・Sを入力",IF(AND(ISNUMBER(J39),ISNUMBER(V39),ABS(N(J39)-N(V39))&gt;=1),"RとSの乖離（案分ならUに明記）",IF(AND(G39="対象",L39=""),"Uに制約・代替策・未検証を記載",IF(AND(G39="対象外",L39=""),"対象外の理由・承認者をUに記載",IF(OR(M39="",N39="",O39=""),"V～Xを入力",IF(P39&gt;0,"未記入あり（P列）","OK"))))))))))</f>
        <v>会社名コード未設定（D4）</v>
      </c>
      <c r="R39" s="11" t="str">
        <f aca="false">IF(INDEX(評価項目対応!$M$6:$M$236,$U39)="","",INDEX(評価項目対応!$M$6:$M$236,$U39))</f>
        <v/>
      </c>
      <c r="S39" s="11" t="str">
        <f aca="false">INDEX(評価項目対応!$H$6:$H$236,$U39)</f>
        <v>管理者ロールと一般権限を分離し、操作範囲・必要性・委託権限を確認する。</v>
      </c>
      <c r="T39" s="11" t="str">
        <f aca="false">TRIM(IF(INDEX(評価項目対応!$K$6:$K$236,$U39)="","","試験ID: "&amp;INDEX(評価項目対応!$K$6:$K$236,$U39)&amp;"　")&amp;IF(INDEX(評価項目対応!$L$6:$L$236,$U39)="","","判断理由: "&amp;INDEX(評価項目対応!$L$6:$L$236,$U39)))</f>
        <v/>
      </c>
      <c r="U39" s="28" t="n">
        <f aca="false">MATCH($A39,評価項目対応!$A$6:$A$236,0)</f>
        <v>33</v>
      </c>
      <c r="V39" s="28" t="str">
        <f aca="false">IFERROR(VLOOKUP(I39,$X$6:$Y$11,2,FALSE()),"")</f>
        <v/>
      </c>
    </row>
    <row r="40" customFormat="false" ht="36" hidden="false" customHeight="true" outlineLevel="0" collapsed="false">
      <c r="A40" s="13" t="n">
        <v>36</v>
      </c>
      <c r="B40" s="13" t="n">
        <f aca="false">INDEX(評価項目対応!$B$6:$B$236,$U40)</f>
        <v>80</v>
      </c>
      <c r="C40" s="13" t="str">
        <f aca="false">INDEX(評価項目対応!$F$6:$F$236,$U40)</f>
        <v>2.06</v>
      </c>
      <c r="D40" s="11" t="str">
        <f aca="false">INDEX(評価項目対応!$D$6:$D$236,$U40)</f>
        <v>アカウント管理</v>
      </c>
      <c r="E40" s="11" t="str">
        <f aca="false">INDEX(評価項目対応!$E$6:$E$236,$U40)</f>
        <v>タスクを実行するためのユーザー、グループ、およびロールを作成する。</v>
      </c>
      <c r="F40" s="13" t="str">
        <f aca="false">IF($D$4="","",$D$4)</f>
        <v/>
      </c>
      <c r="G40" s="13" t="str">
        <f aca="false">IFERROR(IF(INDEX(評価項目対応!$I$6:$I$236,$U40)="対象","対象",IF(INDEX(評価項目対応!$I$6:$I$236,$U40)="対象外（承認済）","対象外",IF(INDEX(評価項目対応!$I$6:$I$236,$U40)="未確定","n/a",""))),"")</f>
        <v>n/a</v>
      </c>
      <c r="H40" s="25" t="str">
        <f aca="false">IF(ISBLANK(J40),"",IF(J40=5,"Yes",IF(J40=4,"Yes","No")))</f>
        <v/>
      </c>
      <c r="I40" s="18"/>
      <c r="J40" s="26"/>
      <c r="K40" s="18"/>
      <c r="L40" s="18"/>
      <c r="M40" s="11" t="str">
        <f aca="false">IF(INDEX(評価項目対応!$J$6:$J$236,$U40)="","",INDEX(評価項目対応!$J$6:$J$236,$U40))</f>
        <v/>
      </c>
      <c r="N40" s="11" t="str">
        <f aca="false">IF(INDEX(評価項目対応!$N$6:$N$236,$U40)="","",INDEX(評価項目対応!$N$6:$N$236,$U40))</f>
        <v/>
      </c>
      <c r="O40" s="11" t="str">
        <f aca="false">IF(INDEX(評価項目対応!$O$6:$O$236,$U40)="","",INDEX(評価項目対応!$O$6:$O$236,$U40))</f>
        <v/>
      </c>
      <c r="P40" s="27" t="n">
        <f aca="false">COUNTIF(F40:G40,"")+COUNTIF(I40:O40,"")-IF(AND(G40="対象外",K40=""),1,0)</f>
        <v>8</v>
      </c>
      <c r="Q40" s="11" t="str">
        <f aca="false">IF(F40="","会社名コード未設定（D4）",IF(OR(G40="",G40="n/a"),"適用性を確定（評価項目対応I列）",IF(AND(G40="対象外",OR(I40&lt;&gt;"対象外",J40&lt;&gt;"n/a")),"対象外ならR=対象外・S=n/a",IF(AND(G40="対象",OR(I40="対象外",J40="n/a")),"対象なのにR／Sが対象外・n/a",IF(AND(G40="対象",OR(I40="",J40="")),"R・Sを入力",IF(AND(ISNUMBER(J40),ISNUMBER(V40),ABS(N(J40)-N(V40))&gt;=1),"RとSの乖離（案分ならUに明記）",IF(AND(G40="対象",L40=""),"Uに制約・代替策・未検証を記載",IF(AND(G40="対象外",L40=""),"対象外の理由・承認者をUに記載",IF(OR(M40="",N40="",O40=""),"V～Xを入力",IF(P40&gt;0,"未記入あり（P列）","OK"))))))))))</f>
        <v>会社名コード未設定（D4）</v>
      </c>
      <c r="R40" s="11" t="str">
        <f aca="false">IF(INDEX(評価項目対応!$M$6:$M$236,$U40)="","",INDEX(評価項目対応!$M$6:$M$236,$U40))</f>
        <v/>
      </c>
      <c r="S40" s="11" t="str">
        <f aca="false">INDEX(評価項目対応!$H$6:$H$236,$U40)</f>
        <v>管理者ロールと一般権限を分離し、操作範囲・必要性・委託権限を確認する。</v>
      </c>
      <c r="T40" s="11" t="str">
        <f aca="false">TRIM(IF(INDEX(評価項目対応!$K$6:$K$236,$U40)="","","試験ID: "&amp;INDEX(評価項目対応!$K$6:$K$236,$U40)&amp;"　")&amp;IF(INDEX(評価項目対応!$L$6:$L$236,$U40)="","","判断理由: "&amp;INDEX(評価項目対応!$L$6:$L$236,$U40)))</f>
        <v/>
      </c>
      <c r="U40" s="28" t="n">
        <f aca="false">MATCH($A40,評価項目対応!$A$6:$A$236,0)</f>
        <v>34</v>
      </c>
      <c r="V40" s="28" t="str">
        <f aca="false">IFERROR(VLOOKUP(I40,$X$6:$Y$11,2,FALSE()),"")</f>
        <v/>
      </c>
    </row>
    <row r="41" customFormat="false" ht="63.75" hidden="false" customHeight="true" outlineLevel="0" collapsed="false">
      <c r="A41" s="13" t="n">
        <v>37</v>
      </c>
      <c r="B41" s="13" t="n">
        <f aca="false">INDEX(評価項目対応!$B$6:$B$236,$U41)</f>
        <v>87</v>
      </c>
      <c r="C41" s="13" t="str">
        <f aca="false">INDEX(評価項目対応!$F$6:$F$236,$U41)</f>
        <v>4.04a</v>
      </c>
      <c r="D41" s="11" t="str">
        <f aca="false">INDEX(評価項目対応!$D$6:$D$236,$U41)</f>
        <v>アカウント管理</v>
      </c>
      <c r="E41" s="11" t="str">
        <f aca="false">INDEX(評価項目対応!$E$6:$E$236,$U41)</f>
        <v>OSがWindows Server 2019およびWindows 10より古い場合は、可能であれ
ばLocal Administrator Password Solution（LAPS）を実装する。</v>
      </c>
      <c r="F41" s="13" t="str">
        <f aca="false">IF($D$4="","",$D$4)</f>
        <v/>
      </c>
      <c r="G41" s="13" t="str">
        <f aca="false">IFERROR(IF(INDEX(評価項目対応!$I$6:$I$236,$U41)="対象","対象",IF(INDEX(評価項目対応!$I$6:$I$236,$U41)="対象外（承認済）","対象外",IF(INDEX(評価項目対応!$I$6:$I$236,$U41)="未確定","n/a",""))),"")</f>
        <v>n/a</v>
      </c>
      <c r="H41" s="25" t="str">
        <f aca="false">IF(ISBLANK(J41),"",IF(J41=5,"Yes",IF(J41=4,"Yes","No")))</f>
        <v/>
      </c>
      <c r="I41" s="18"/>
      <c r="J41" s="26"/>
      <c r="K41" s="18"/>
      <c r="L41" s="18"/>
      <c r="M41" s="11" t="str">
        <f aca="false">IF(INDEX(評価項目対応!$J$6:$J$236,$U41)="","",INDEX(評価項目対応!$J$6:$J$236,$U41))</f>
        <v/>
      </c>
      <c r="N41" s="11" t="str">
        <f aca="false">IF(INDEX(評価項目対応!$N$6:$N$236,$U41)="","",INDEX(評価項目対応!$N$6:$N$236,$U41))</f>
        <v/>
      </c>
      <c r="O41" s="11" t="str">
        <f aca="false">IF(INDEX(評価項目対応!$O$6:$O$236,$U41)="","",INDEX(評価項目対応!$O$6:$O$236,$U41))</f>
        <v/>
      </c>
      <c r="P41" s="27" t="n">
        <f aca="false">COUNTIF(F41:G41,"")+COUNTIF(I41:O41,"")-IF(AND(G41="対象外",K41=""),1,0)</f>
        <v>8</v>
      </c>
      <c r="Q41" s="11" t="str">
        <f aca="false">IF(F41="","会社名コード未設定（D4）",IF(OR(G41="",G41="n/a"),"適用性を確定（評価項目対応I列）",IF(AND(G41="対象外",OR(I41&lt;&gt;"対象外",J41&lt;&gt;"n/a")),"対象外ならR=対象外・S=n/a",IF(AND(G41="対象",OR(I41="対象外",J41="n/a")),"対象なのにR／Sが対象外・n/a",IF(AND(G41="対象",OR(I41="",J41="")),"R・Sを入力",IF(AND(ISNUMBER(J41),ISNUMBER(V41),ABS(N(J41)-N(V41))&gt;=1),"RとSの乖離（案分ならUに明記）",IF(AND(G41="対象",L41=""),"Uに制約・代替策・未検証を記載",IF(AND(G41="対象外",L41=""),"対象外の理由・承認者をUに記載",IF(OR(M41="",N41="",O41=""),"V～Xを入力",IF(P41&gt;0,"未記入あり（P列）","OK"))))))))))</f>
        <v>会社名コード未設定（D4）</v>
      </c>
      <c r="R41" s="11" t="str">
        <f aca="false">IF(INDEX(評価項目対応!$M$6:$M$236,$U41)="","",INDEX(評価項目対応!$M$6:$M$236,$U41))</f>
        <v/>
      </c>
      <c r="S41" s="11" t="str">
        <f aca="false">INDEX(評価項目対応!$H$6:$H$236,$U41)</f>
        <v>Windows固有の要件（PowerShell、LSASS、資格情報保護等）。ChromeOS端末は非該当だが、接続先のAD／Windows環境に適用し得るため既存証跡を確認する。対象外にする場合は理由と承認者を記録する。</v>
      </c>
      <c r="T41" s="11" t="str">
        <f aca="false">TRIM(IF(INDEX(評価項目対応!$K$6:$K$236,$U41)="","","試験ID: "&amp;INDEX(評価項目対応!$K$6:$K$236,$U41)&amp;"　")&amp;IF(INDEX(評価項目対応!$L$6:$L$236,$U41)="","","判断理由: "&amp;INDEX(評価項目対応!$L$6:$L$236,$U41)))</f>
        <v/>
      </c>
      <c r="U41" s="28" t="n">
        <f aca="false">MATCH($A41,評価項目対応!$A$6:$A$236,0)</f>
        <v>35</v>
      </c>
      <c r="V41" s="28" t="str">
        <f aca="false">IFERROR(VLOOKUP(I41,$X$6:$Y$11,2,FALSE()),"")</f>
        <v/>
      </c>
    </row>
    <row r="42" customFormat="false" ht="36" hidden="false" customHeight="true" outlineLevel="0" collapsed="false">
      <c r="A42" s="13" t="n">
        <v>38</v>
      </c>
      <c r="B42" s="13" t="n">
        <f aca="false">INDEX(評価項目対応!$B$6:$B$236,$U42)</f>
        <v>92</v>
      </c>
      <c r="C42" s="13" t="str">
        <f aca="false">INDEX(評価項目対応!$F$6:$F$236,$U42)</f>
        <v>2.06</v>
      </c>
      <c r="D42" s="11" t="str">
        <f aca="false">INDEX(評価項目対応!$D$6:$D$236,$U42)</f>
        <v>アカウント管理</v>
      </c>
      <c r="E42" s="11" t="str">
        <f aca="false">INDEX(評価項目対応!$E$6:$E$236,$U42)</f>
        <v>管理者アカウントとユーザーアカウントを分離する。</v>
      </c>
      <c r="F42" s="13" t="str">
        <f aca="false">IF($D$4="","",$D$4)</f>
        <v/>
      </c>
      <c r="G42" s="13" t="str">
        <f aca="false">IFERROR(IF(INDEX(評価項目対応!$I$6:$I$236,$U42)="対象","対象",IF(INDEX(評価項目対応!$I$6:$I$236,$U42)="対象外（承認済）","対象外",IF(INDEX(評価項目対応!$I$6:$I$236,$U42)="未確定","n/a",""))),"")</f>
        <v>n/a</v>
      </c>
      <c r="H42" s="25" t="str">
        <f aca="false">IF(ISBLANK(J42),"",IF(J42=5,"Yes",IF(J42=4,"Yes","No")))</f>
        <v/>
      </c>
      <c r="I42" s="18"/>
      <c r="J42" s="26"/>
      <c r="K42" s="18"/>
      <c r="L42" s="18"/>
      <c r="M42" s="11" t="str">
        <f aca="false">IF(INDEX(評価項目対応!$J$6:$J$236,$U42)="","",INDEX(評価項目対応!$J$6:$J$236,$U42))</f>
        <v/>
      </c>
      <c r="N42" s="11" t="str">
        <f aca="false">IF(INDEX(評価項目対応!$N$6:$N$236,$U42)="","",INDEX(評価項目対応!$N$6:$N$236,$U42))</f>
        <v/>
      </c>
      <c r="O42" s="11" t="str">
        <f aca="false">IF(INDEX(評価項目対応!$O$6:$O$236,$U42)="","",INDEX(評価項目対応!$O$6:$O$236,$U42))</f>
        <v/>
      </c>
      <c r="P42" s="27" t="n">
        <f aca="false">COUNTIF(F42:G42,"")+COUNTIF(I42:O42,"")-IF(AND(G42="対象外",K42=""),1,0)</f>
        <v>8</v>
      </c>
      <c r="Q42" s="11" t="str">
        <f aca="false">IF(F42="","会社名コード未設定（D4）",IF(OR(G42="",G42="n/a"),"適用性を確定（評価項目対応I列）",IF(AND(G42="対象外",OR(I42&lt;&gt;"対象外",J42&lt;&gt;"n/a")),"対象外ならR=対象外・S=n/a",IF(AND(G42="対象",OR(I42="対象外",J42="n/a")),"対象なのにR／Sが対象外・n/a",IF(AND(G42="対象",OR(I42="",J42="")),"R・Sを入力",IF(AND(ISNUMBER(J42),ISNUMBER(V42),ABS(N(J42)-N(V42))&gt;=1),"RとSの乖離（案分ならUに明記）",IF(AND(G42="対象",L42=""),"Uに制約・代替策・未検証を記載",IF(AND(G42="対象外",L42=""),"対象外の理由・承認者をUに記載",IF(OR(M42="",N42="",O42=""),"V～Xを入力",IF(P42&gt;0,"未記入あり（P列）","OK"))))))))))</f>
        <v>会社名コード未設定（D4）</v>
      </c>
      <c r="R42" s="11" t="str">
        <f aca="false">IF(INDEX(評価項目対応!$M$6:$M$236,$U42)="","",INDEX(評価項目対応!$M$6:$M$236,$U42))</f>
        <v/>
      </c>
      <c r="S42" s="11" t="str">
        <f aca="false">INDEX(評価項目対応!$H$6:$H$236,$U42)</f>
        <v>管理者ロールと一般権限を分離し、操作範囲・必要性・委託権限を確認する。</v>
      </c>
      <c r="T42" s="11" t="str">
        <f aca="false">TRIM(IF(INDEX(評価項目対応!$K$6:$K$236,$U42)="","","試験ID: "&amp;INDEX(評価項目対応!$K$6:$K$236,$U42)&amp;"　")&amp;IF(INDEX(評価項目対応!$L$6:$L$236,$U42)="","","判断理由: "&amp;INDEX(評価項目対応!$L$6:$L$236,$U42)))</f>
        <v/>
      </c>
      <c r="U42" s="28" t="n">
        <f aca="false">MATCH($A42,評価項目対応!$A$6:$A$236,0)</f>
        <v>36</v>
      </c>
      <c r="V42" s="28" t="str">
        <f aca="false">IFERROR(VLOOKUP(I42,$X$6:$Y$11,2,FALSE()),"")</f>
        <v/>
      </c>
    </row>
    <row r="43" customFormat="false" ht="36" hidden="false" customHeight="true" outlineLevel="0" collapsed="false">
      <c r="A43" s="13" t="n">
        <v>39</v>
      </c>
      <c r="B43" s="13" t="n">
        <f aca="false">INDEX(評価項目対応!$B$6:$B$236,$U43)</f>
        <v>128</v>
      </c>
      <c r="C43" s="13" t="str">
        <f aca="false">INDEX(評価項目対応!$F$6:$F$236,$U43)</f>
        <v>2.07</v>
      </c>
      <c r="D43" s="11" t="str">
        <f aca="false">INDEX(評価項目対応!$D$6:$D$236,$U43)</f>
        <v>アカウント管理</v>
      </c>
      <c r="E43" s="11" t="str">
        <f aca="false">INDEX(評価項目対応!$E$6:$E$236,$U43)</f>
        <v>不要なアカウントとグループを削除し、rootアクセスを制限する。</v>
      </c>
      <c r="F43" s="13" t="str">
        <f aca="false">IF($D$4="","",$D$4)</f>
        <v/>
      </c>
      <c r="G43" s="13" t="str">
        <f aca="false">IFERROR(IF(INDEX(評価項目対応!$I$6:$I$236,$U43)="対象","対象",IF(INDEX(評価項目対応!$I$6:$I$236,$U43)="対象外（承認済）","対象外",IF(INDEX(評価項目対応!$I$6:$I$236,$U43)="未確定","n/a",""))),"")</f>
        <v>n/a</v>
      </c>
      <c r="H43" s="25" t="str">
        <f aca="false">IF(ISBLANK(J43),"",IF(J43=5,"Yes",IF(J43=4,"Yes","No")))</f>
        <v/>
      </c>
      <c r="I43" s="18"/>
      <c r="J43" s="26"/>
      <c r="K43" s="18"/>
      <c r="L43" s="18"/>
      <c r="M43" s="11" t="str">
        <f aca="false">IF(INDEX(評価項目対応!$J$6:$J$236,$U43)="","",INDEX(評価項目対応!$J$6:$J$236,$U43))</f>
        <v/>
      </c>
      <c r="N43" s="11" t="str">
        <f aca="false">IF(INDEX(評価項目対応!$N$6:$N$236,$U43)="","",INDEX(評価項目対応!$N$6:$N$236,$U43))</f>
        <v/>
      </c>
      <c r="O43" s="11" t="str">
        <f aca="false">IF(INDEX(評価項目対応!$O$6:$O$236,$U43)="","",INDEX(評価項目対応!$O$6:$O$236,$U43))</f>
        <v/>
      </c>
      <c r="P43" s="27" t="n">
        <f aca="false">COUNTIF(F43:G43,"")+COUNTIF(I43:O43,"")-IF(AND(G43="対象外",K43=""),1,0)</f>
        <v>8</v>
      </c>
      <c r="Q43" s="11" t="str">
        <f aca="false">IF(F43="","会社名コード未設定（D4）",IF(OR(G43="",G43="n/a"),"適用性を確定（評価項目対応I列）",IF(AND(G43="対象外",OR(I43&lt;&gt;"対象外",J43&lt;&gt;"n/a")),"対象外ならR=対象外・S=n/a",IF(AND(G43="対象",OR(I43="対象外",J43="n/a")),"対象なのにR／Sが対象外・n/a",IF(AND(G43="対象",OR(I43="",J43="")),"R・Sを入力",IF(AND(ISNUMBER(J43),ISNUMBER(V43),ABS(N(J43)-N(V43))&gt;=1),"RとSの乖離（案分ならUに明記）",IF(AND(G43="対象",L43=""),"Uに制約・代替策・未検証を記載",IF(AND(G43="対象外",L43=""),"対象外の理由・承認者をUに記載",IF(OR(M43="",N43="",O43=""),"V～Xを入力",IF(P43&gt;0,"未記入あり（P列）","OK"))))))))))</f>
        <v>会社名コード未設定（D4）</v>
      </c>
      <c r="R43" s="11" t="str">
        <f aca="false">IF(INDEX(評価項目対応!$M$6:$M$236,$U43)="","",INDEX(評価項目対応!$M$6:$M$236,$U43))</f>
        <v/>
      </c>
      <c r="S43" s="11" t="str">
        <f aca="false">INDEX(評価項目対応!$H$6:$H$236,$U43)</f>
        <v>ユーザー・管理者の作成、停止、不要アカウント整理、定期棚卸しを確認する。</v>
      </c>
      <c r="T43" s="11" t="str">
        <f aca="false">TRIM(IF(INDEX(評価項目対応!$K$6:$K$236,$U43)="","","試験ID: "&amp;INDEX(評価項目対応!$K$6:$K$236,$U43)&amp;"　")&amp;IF(INDEX(評価項目対応!$L$6:$L$236,$U43)="","","判断理由: "&amp;INDEX(評価項目対応!$L$6:$L$236,$U43)))</f>
        <v/>
      </c>
      <c r="U43" s="28" t="n">
        <f aca="false">MATCH($A43,評価項目対応!$A$6:$A$236,0)</f>
        <v>37</v>
      </c>
      <c r="V43" s="28" t="str">
        <f aca="false">IFERROR(VLOOKUP(I43,$X$6:$Y$11,2,FALSE()),"")</f>
        <v/>
      </c>
    </row>
    <row r="44" customFormat="false" ht="78" hidden="false" customHeight="true" outlineLevel="0" collapsed="false">
      <c r="A44" s="13" t="n">
        <v>40</v>
      </c>
      <c r="B44" s="13" t="n">
        <f aca="false">INDEX(評価項目対応!$B$6:$B$236,$U44)</f>
        <v>117</v>
      </c>
      <c r="C44" s="13" t="str">
        <f aca="false">INDEX(評価項目対応!$F$6:$F$236,$U44)</f>
        <v>5.08</v>
      </c>
      <c r="D44" s="11" t="str">
        <f aca="false">INDEX(評価項目対応!$D$6:$D$236,$U44)</f>
        <v>サードパーティ管理</v>
      </c>
      <c r="E44" s="11" t="str">
        <f aca="false">INDEX(評価項目対応!$E$6:$E$236,$U44)</f>
        <v>サードパーティのアクセスを設定する際は、最小権限と職務分掌の使用を
確保する。サードパーティとMSPは、その役割または責任内にあるデバイ
スとサーバーにのみアクセスできるようにする。</v>
      </c>
      <c r="F44" s="13" t="str">
        <f aca="false">IF($D$4="","",$D$4)</f>
        <v/>
      </c>
      <c r="G44" s="13" t="str">
        <f aca="false">IFERROR(IF(INDEX(評価項目対応!$I$6:$I$236,$U44)="対象","対象",IF(INDEX(評価項目対応!$I$6:$I$236,$U44)="対象外（承認済）","対象外",IF(INDEX(評価項目対応!$I$6:$I$236,$U44)="未確定","n/a",""))),"")</f>
        <v>n/a</v>
      </c>
      <c r="H44" s="25" t="str">
        <f aca="false">IF(ISBLANK(J44),"",IF(J44=5,"Yes",IF(J44=4,"Yes","No")))</f>
        <v/>
      </c>
      <c r="I44" s="18"/>
      <c r="J44" s="26"/>
      <c r="K44" s="18"/>
      <c r="L44" s="18"/>
      <c r="M44" s="11" t="str">
        <f aca="false">IF(INDEX(評価項目対応!$J$6:$J$236,$U44)="","",INDEX(評価項目対応!$J$6:$J$236,$U44))</f>
        <v/>
      </c>
      <c r="N44" s="11" t="str">
        <f aca="false">IF(INDEX(評価項目対応!$N$6:$N$236,$U44)="","",INDEX(評価項目対応!$N$6:$N$236,$U44))</f>
        <v/>
      </c>
      <c r="O44" s="11" t="str">
        <f aca="false">IF(INDEX(評価項目対応!$O$6:$O$236,$U44)="","",INDEX(評価項目対応!$O$6:$O$236,$U44))</f>
        <v/>
      </c>
      <c r="P44" s="27" t="n">
        <f aca="false">COUNTIF(F44:G44,"")+COUNTIF(I44:O44,"")-IF(AND(G44="対象外",K44=""),1,0)</f>
        <v>8</v>
      </c>
      <c r="Q44" s="11" t="str">
        <f aca="false">IF(F44="","会社名コード未設定（D4）",IF(OR(G44="",G44="n/a"),"適用性を確定（評価項目対応I列）",IF(AND(G44="対象外",OR(I44&lt;&gt;"対象外",J44&lt;&gt;"n/a")),"対象外ならR=対象外・S=n/a",IF(AND(G44="対象",OR(I44="対象外",J44="n/a")),"対象なのにR／Sが対象外・n/a",IF(AND(G44="対象",OR(I44="",J44="")),"R・Sを入力",IF(AND(ISNUMBER(J44),ISNUMBER(V44),ABS(N(J44)-N(V44))&gt;=1),"RとSの乖離（案分ならUに明記）",IF(AND(G44="対象",L44=""),"Uに制約・代替策・未検証を記載",IF(AND(G44="対象外",L44=""),"対象外の理由・承認者をUに記載",IF(OR(M44="",N44="",O44=""),"V～Xを入力",IF(P44&gt;0,"未記入あり（P列）","OK"))))))))))</f>
        <v>会社名コード未設定（D4）</v>
      </c>
      <c r="R44" s="11" t="str">
        <f aca="false">IF(INDEX(評価項目対応!$M$6:$M$236,$U44)="","",INDEX(評価項目対応!$M$6:$M$236,$U44))</f>
        <v/>
      </c>
      <c r="S44" s="11" t="str">
        <f aca="false">INDEX(評価項目対応!$H$6:$H$236,$U44)</f>
        <v>Google・販売店・運用委託先の責任分界、報告、最小権限と契約・管理手順を確認する。</v>
      </c>
      <c r="T44" s="11" t="str">
        <f aca="false">TRIM(IF(INDEX(評価項目対応!$K$6:$K$236,$U44)="","","試験ID: "&amp;INDEX(評価項目対応!$K$6:$K$236,$U44)&amp;"　")&amp;IF(INDEX(評価項目対応!$L$6:$L$236,$U44)="","","判断理由: "&amp;INDEX(評価項目対応!$L$6:$L$236,$U44)))</f>
        <v/>
      </c>
      <c r="U44" s="28" t="n">
        <f aca="false">MATCH($A44,評価項目対応!$A$6:$A$236,0)</f>
        <v>38</v>
      </c>
      <c r="V44" s="28" t="str">
        <f aca="false">IFERROR(VLOOKUP(I44,$X$6:$Y$11,2,FALSE()),"")</f>
        <v/>
      </c>
    </row>
    <row r="45" customFormat="false" ht="78" hidden="false" customHeight="true" outlineLevel="0" collapsed="false">
      <c r="A45" s="13" t="n">
        <v>41</v>
      </c>
      <c r="B45" s="13" t="n">
        <f aca="false">INDEX(評価項目対応!$B$6:$B$236,$U45)</f>
        <v>91</v>
      </c>
      <c r="C45" s="13" t="str">
        <f aca="false">INDEX(評価項目対応!$F$6:$F$236,$U45)</f>
        <v>4.04c</v>
      </c>
      <c r="D45" s="11" t="str">
        <f aca="false">INDEX(評価項目対応!$D$6:$D$236,$U45)</f>
        <v>リモート環境管理</v>
      </c>
      <c r="E45" s="11" t="str">
        <f aca="false">INDEX(評価項目対応!$E$6:$E$236,$U45)</f>
        <v>リモート接続を確立する際は、資格情報の直接露出を避けるために、可能
な限りWindows PowerShell Remoting、Remote Credential Guard、または
RDPを使用する。</v>
      </c>
      <c r="F45" s="13" t="str">
        <f aca="false">IF($D$4="","",$D$4)</f>
        <v/>
      </c>
      <c r="G45" s="13" t="str">
        <f aca="false">IFERROR(IF(INDEX(評価項目対応!$I$6:$I$236,$U45)="対象","対象",IF(INDEX(評価項目対応!$I$6:$I$236,$U45)="対象外（承認済）","対象外",IF(INDEX(評価項目対応!$I$6:$I$236,$U45)="未確定","n/a",""))),"")</f>
        <v>n/a</v>
      </c>
      <c r="H45" s="25" t="str">
        <f aca="false">IF(ISBLANK(J45),"",IF(J45=5,"Yes",IF(J45=4,"Yes","No")))</f>
        <v/>
      </c>
      <c r="I45" s="18"/>
      <c r="J45" s="26"/>
      <c r="K45" s="18"/>
      <c r="L45" s="18"/>
      <c r="M45" s="11" t="str">
        <f aca="false">IF(INDEX(評価項目対応!$J$6:$J$236,$U45)="","",INDEX(評価項目対応!$J$6:$J$236,$U45))</f>
        <v/>
      </c>
      <c r="N45" s="11" t="str">
        <f aca="false">IF(INDEX(評価項目対応!$N$6:$N$236,$U45)="","",INDEX(評価項目対応!$N$6:$N$236,$U45))</f>
        <v/>
      </c>
      <c r="O45" s="11" t="str">
        <f aca="false">IF(INDEX(評価項目対応!$O$6:$O$236,$U45)="","",INDEX(評価項目対応!$O$6:$O$236,$U45))</f>
        <v/>
      </c>
      <c r="P45" s="27" t="n">
        <f aca="false">COUNTIF(F45:G45,"")+COUNTIF(I45:O45,"")-IF(AND(G45="対象外",K45=""),1,0)</f>
        <v>8</v>
      </c>
      <c r="Q45" s="11" t="str">
        <f aca="false">IF(F45="","会社名コード未設定（D4）",IF(OR(G45="",G45="n/a"),"適用性を確定（評価項目対応I列）",IF(AND(G45="対象外",OR(I45&lt;&gt;"対象外",J45&lt;&gt;"n/a")),"対象外ならR=対象外・S=n/a",IF(AND(G45="対象",OR(I45="対象外",J45="n/a")),"対象なのにR／Sが対象外・n/a",IF(AND(G45="対象",OR(I45="",J45="")),"R・Sを入力",IF(AND(ISNUMBER(J45),ISNUMBER(V45),ABS(N(J45)-N(V45))&gt;=1),"RとSの乖離（案分ならUに明記）",IF(AND(G45="対象",L45=""),"Uに制約・代替策・未検証を記載",IF(AND(G45="対象外",L45=""),"対象外の理由・承認者をUに記載",IF(OR(M45="",N45="",O45=""),"V～Xを入力",IF(P45&gt;0,"未記入あり（P列）","OK"))))))))))</f>
        <v>会社名コード未設定（D4）</v>
      </c>
      <c r="R45" s="11" t="str">
        <f aca="false">IF(INDEX(評価項目対応!$M$6:$M$236,$U45)="","",INDEX(評価項目対応!$M$6:$M$236,$U45))</f>
        <v/>
      </c>
      <c r="S45" s="11" t="str">
        <f aca="false">INDEX(評価項目対応!$H$6:$H$236,$U45)</f>
        <v>VDI・RDP・リモート環境・RMM・公開サービスの既存証跡を受領する。端末側のリモートアクセス系ツール（拡張・Android・Chrome Remote Desktop）の制御は3.03／3.04で確認する。</v>
      </c>
      <c r="T45" s="11" t="str">
        <f aca="false">TRIM(IF(INDEX(評価項目対応!$K$6:$K$236,$U45)="","","試験ID: "&amp;INDEX(評価項目対応!$K$6:$K$236,$U45)&amp;"　")&amp;IF(INDEX(評価項目対応!$L$6:$L$236,$U45)="","","判断理由: "&amp;INDEX(評価項目対応!$L$6:$L$236,$U45)))</f>
        <v/>
      </c>
      <c r="U45" s="28" t="n">
        <f aca="false">MATCH($A45,評価項目対応!$A$6:$A$236,0)</f>
        <v>39</v>
      </c>
      <c r="V45" s="28" t="str">
        <f aca="false">IFERROR(VLOOKUP(I45,$X$6:$Y$11,2,FALSE()),"")</f>
        <v/>
      </c>
    </row>
    <row r="46" customFormat="false" ht="36" hidden="false" customHeight="true" outlineLevel="0" collapsed="false">
      <c r="A46" s="13" t="n">
        <v>42</v>
      </c>
      <c r="B46" s="13" t="n">
        <f aca="false">INDEX(評価項目対応!$B$6:$B$236,$U46)</f>
        <v>129</v>
      </c>
      <c r="C46" s="13" t="str">
        <f aca="false">INDEX(評価項目対応!$F$6:$F$236,$U46)</f>
        <v>2.06</v>
      </c>
      <c r="D46" s="11" t="str">
        <f aca="false">INDEX(評価項目対応!$D$6:$D$236,$U46)</f>
        <v>ローカル管理者管理</v>
      </c>
      <c r="E46" s="11" t="str">
        <f aca="false">INDEX(評価項目対応!$E$6:$E$236,$U46)</f>
        <v>ローカル管理を制御および制限する。</v>
      </c>
      <c r="F46" s="13" t="str">
        <f aca="false">IF($D$4="","",$D$4)</f>
        <v/>
      </c>
      <c r="G46" s="13" t="str">
        <f aca="false">IFERROR(IF(INDEX(評価項目対応!$I$6:$I$236,$U46)="対象","対象",IF(INDEX(評価項目対応!$I$6:$I$236,$U46)="対象外（承認済）","対象外",IF(INDEX(評価項目対応!$I$6:$I$236,$U46)="未確定","n/a",""))),"")</f>
        <v>n/a</v>
      </c>
      <c r="H46" s="25" t="str">
        <f aca="false">IF(ISBLANK(J46),"",IF(J46=5,"Yes",IF(J46=4,"Yes","No")))</f>
        <v/>
      </c>
      <c r="I46" s="18"/>
      <c r="J46" s="26"/>
      <c r="K46" s="18"/>
      <c r="L46" s="18"/>
      <c r="M46" s="11" t="str">
        <f aca="false">IF(INDEX(評価項目対応!$J$6:$J$236,$U46)="","",INDEX(評価項目対応!$J$6:$J$236,$U46))</f>
        <v/>
      </c>
      <c r="N46" s="11" t="str">
        <f aca="false">IF(INDEX(評価項目対応!$N$6:$N$236,$U46)="","",INDEX(評価項目対応!$N$6:$N$236,$U46))</f>
        <v/>
      </c>
      <c r="O46" s="11" t="str">
        <f aca="false">IF(INDEX(評価項目対応!$O$6:$O$236,$U46)="","",INDEX(評価項目対応!$O$6:$O$236,$U46))</f>
        <v/>
      </c>
      <c r="P46" s="27" t="n">
        <f aca="false">COUNTIF(F46:G46,"")+COUNTIF(I46:O46,"")-IF(AND(G46="対象外",K46=""),1,0)</f>
        <v>8</v>
      </c>
      <c r="Q46" s="11" t="str">
        <f aca="false">IF(F46="","会社名コード未設定（D4）",IF(OR(G46="",G46="n/a"),"適用性を確定（評価項目対応I列）",IF(AND(G46="対象外",OR(I46&lt;&gt;"対象外",J46&lt;&gt;"n/a")),"対象外ならR=対象外・S=n/a",IF(AND(G46="対象",OR(I46="対象外",J46="n/a")),"対象なのにR／Sが対象外・n/a",IF(AND(G46="対象",OR(I46="",J46="")),"R・Sを入力",IF(AND(ISNUMBER(J46),ISNUMBER(V46),ABS(N(J46)-N(V46))&gt;=1),"RとSの乖離（案分ならUに明記）",IF(AND(G46="対象",L46=""),"Uに制約・代替策・未検証を記載",IF(AND(G46="対象外",L46=""),"対象外の理由・承認者をUに記載",IF(OR(M46="",N46="",O46=""),"V～Xを入力",IF(P46&gt;0,"未記入あり（P列）","OK"))))))))))</f>
        <v>会社名コード未設定（D4）</v>
      </c>
      <c r="R46" s="11" t="str">
        <f aca="false">IF(INDEX(評価項目対応!$M$6:$M$236,$U46)="","",INDEX(評価項目対応!$M$6:$M$236,$U46))</f>
        <v/>
      </c>
      <c r="S46" s="11" t="str">
        <f aca="false">INDEX(評価項目対応!$H$6:$H$236,$U46)</f>
        <v>管理者ロールと一般権限を分離し、操作範囲・必要性・委託権限を確認する。</v>
      </c>
      <c r="T46" s="11" t="str">
        <f aca="false">TRIM(IF(INDEX(評価項目対応!$K$6:$K$236,$U46)="","","試験ID: "&amp;INDEX(評価項目対応!$K$6:$K$236,$U46)&amp;"　")&amp;IF(INDEX(評価項目対応!$L$6:$L$236,$U46)="","","判断理由: "&amp;INDEX(評価項目対応!$L$6:$L$236,$U46)))</f>
        <v/>
      </c>
      <c r="U46" s="28" t="n">
        <f aca="false">MATCH($A46,評価項目対応!$A$6:$A$236,0)</f>
        <v>40</v>
      </c>
      <c r="V46" s="28" t="str">
        <f aca="false">IFERROR(VLOOKUP(I46,$X$6:$Y$11,2,FALSE()),"")</f>
        <v/>
      </c>
    </row>
    <row r="47" customFormat="false" ht="63.75" hidden="false" customHeight="true" outlineLevel="0" collapsed="false">
      <c r="A47" s="13" t="n">
        <v>43</v>
      </c>
      <c r="B47" s="13" t="n">
        <f aca="false">INDEX(評価項目対応!$B$6:$B$236,$U47)</f>
        <v>88</v>
      </c>
      <c r="C47" s="13" t="str">
        <f aca="false">INDEX(評価項目対応!$F$6:$F$236,$U47)</f>
        <v>4.04a</v>
      </c>
      <c r="D47" s="11" t="str">
        <f aca="false">INDEX(評価項目対応!$D$6:$D$236,$U47)</f>
        <v>攻撃面最小化</v>
      </c>
      <c r="E47" s="11" t="str">
        <f aca="false">INDEX(評価項目対応!$E$6:$E$236,$U47)</f>
        <v>LSASSに対するAttack Surface Reduction（ASR）ルールを実装する。</v>
      </c>
      <c r="F47" s="13" t="str">
        <f aca="false">IF($D$4="","",$D$4)</f>
        <v/>
      </c>
      <c r="G47" s="13" t="str">
        <f aca="false">IFERROR(IF(INDEX(評価項目対応!$I$6:$I$236,$U47)="対象","対象",IF(INDEX(評価項目対応!$I$6:$I$236,$U47)="対象外（承認済）","対象外",IF(INDEX(評価項目対応!$I$6:$I$236,$U47)="未確定","n/a",""))),"")</f>
        <v>n/a</v>
      </c>
      <c r="H47" s="25" t="str">
        <f aca="false">IF(ISBLANK(J47),"",IF(J47=5,"Yes",IF(J47=4,"Yes","No")))</f>
        <v/>
      </c>
      <c r="I47" s="18"/>
      <c r="J47" s="26"/>
      <c r="K47" s="18"/>
      <c r="L47" s="18"/>
      <c r="M47" s="11" t="str">
        <f aca="false">IF(INDEX(評価項目対応!$J$6:$J$236,$U47)="","",INDEX(評価項目対応!$J$6:$J$236,$U47))</f>
        <v/>
      </c>
      <c r="N47" s="11" t="str">
        <f aca="false">IF(INDEX(評価項目対応!$N$6:$N$236,$U47)="","",INDEX(評価項目対応!$N$6:$N$236,$U47))</f>
        <v/>
      </c>
      <c r="O47" s="11" t="str">
        <f aca="false">IF(INDEX(評価項目対応!$O$6:$O$236,$U47)="","",INDEX(評価項目対応!$O$6:$O$236,$U47))</f>
        <v/>
      </c>
      <c r="P47" s="27" t="n">
        <f aca="false">COUNTIF(F47:G47,"")+COUNTIF(I47:O47,"")-IF(AND(G47="対象外",K47=""),1,0)</f>
        <v>8</v>
      </c>
      <c r="Q47" s="11" t="str">
        <f aca="false">IF(F47="","会社名コード未設定（D4）",IF(OR(G47="",G47="n/a"),"適用性を確定（評価項目対応I列）",IF(AND(G47="対象外",OR(I47&lt;&gt;"対象外",J47&lt;&gt;"n/a")),"対象外ならR=対象外・S=n/a",IF(AND(G47="対象",OR(I47="対象外",J47="n/a")),"対象なのにR／Sが対象外・n/a",IF(AND(G47="対象",OR(I47="",J47="")),"R・Sを入力",IF(AND(ISNUMBER(J47),ISNUMBER(V47),ABS(N(J47)-N(V47))&gt;=1),"RとSの乖離（案分ならUに明記）",IF(AND(G47="対象",L47=""),"Uに制約・代替策・未検証を記載",IF(AND(G47="対象外",L47=""),"対象外の理由・承認者をUに記載",IF(OR(M47="",N47="",O47=""),"V～Xを入力",IF(P47&gt;0,"未記入あり（P列）","OK"))))))))))</f>
        <v>会社名コード未設定（D4）</v>
      </c>
      <c r="R47" s="11" t="str">
        <f aca="false">IF(INDEX(評価項目対応!$M$6:$M$236,$U47)="","",INDEX(評価項目対応!$M$6:$M$236,$U47))</f>
        <v/>
      </c>
      <c r="S47" s="11" t="str">
        <f aca="false">INDEX(評価項目対応!$H$6:$H$236,$U47)</f>
        <v>Windows固有の要件（PowerShell、LSASS、資格情報保護等）。ChromeOS端末は非該当だが、接続先のAD／Windows環境に適用し得るため既存証跡を確認する。対象外にする場合は理由と承認者を記録する。</v>
      </c>
      <c r="T47" s="11" t="str">
        <f aca="false">TRIM(IF(INDEX(評価項目対応!$K$6:$K$236,$U47)="","","試験ID: "&amp;INDEX(評価項目対応!$K$6:$K$236,$U47)&amp;"　")&amp;IF(INDEX(評価項目対応!$L$6:$L$236,$U47)="","","判断理由: "&amp;INDEX(評価項目対応!$L$6:$L$236,$U47)))</f>
        <v/>
      </c>
      <c r="U47" s="28" t="n">
        <f aca="false">MATCH($A47,評価項目対応!$A$6:$A$236,0)</f>
        <v>41</v>
      </c>
      <c r="V47" s="28" t="str">
        <f aca="false">IFERROR(VLOOKUP(I47,$X$6:$Y$11,2,FALSE()),"")</f>
        <v/>
      </c>
    </row>
    <row r="48" customFormat="false" ht="63.75" hidden="false" customHeight="true" outlineLevel="0" collapsed="false">
      <c r="A48" s="13" t="n">
        <v>44</v>
      </c>
      <c r="B48" s="13" t="n">
        <f aca="false">INDEX(評価項目対応!$B$6:$B$236,$U48)</f>
        <v>124</v>
      </c>
      <c r="C48" s="13" t="str">
        <f aca="false">INDEX(評価項目対応!$F$6:$F$236,$U48)</f>
        <v>2.06</v>
      </c>
      <c r="D48" s="11" t="str">
        <f aca="false">INDEX(評価項目対応!$D$6:$D$236,$U48)</f>
        <v>最小権限</v>
      </c>
      <c r="E48" s="11" t="str">
        <f aca="false">INDEX(評価項目対応!$E$6:$E$236,$U48)</f>
        <v>ユーザーが職務を遂行するために必要なアクセスのみを持つように、すべ
てのシステムとサービスに最小権限の原則を適用する。</v>
      </c>
      <c r="F48" s="13" t="str">
        <f aca="false">IF($D$4="","",$D$4)</f>
        <v/>
      </c>
      <c r="G48" s="13" t="str">
        <f aca="false">IFERROR(IF(INDEX(評価項目対応!$I$6:$I$236,$U48)="対象","対象",IF(INDEX(評価項目対応!$I$6:$I$236,$U48)="対象外（承認済）","対象外",IF(INDEX(評価項目対応!$I$6:$I$236,$U48)="未確定","n/a",""))),"")</f>
        <v>n/a</v>
      </c>
      <c r="H48" s="25" t="str">
        <f aca="false">IF(ISBLANK(J48),"",IF(J48=5,"Yes",IF(J48=4,"Yes","No")))</f>
        <v/>
      </c>
      <c r="I48" s="18"/>
      <c r="J48" s="26"/>
      <c r="K48" s="18"/>
      <c r="L48" s="18"/>
      <c r="M48" s="11" t="str">
        <f aca="false">IF(INDEX(評価項目対応!$J$6:$J$236,$U48)="","",INDEX(評価項目対応!$J$6:$J$236,$U48))</f>
        <v/>
      </c>
      <c r="N48" s="11" t="str">
        <f aca="false">IF(INDEX(評価項目対応!$N$6:$N$236,$U48)="","",INDEX(評価項目対応!$N$6:$N$236,$U48))</f>
        <v/>
      </c>
      <c r="O48" s="11" t="str">
        <f aca="false">IF(INDEX(評価項目対応!$O$6:$O$236,$U48)="","",INDEX(評価項目対応!$O$6:$O$236,$U48))</f>
        <v/>
      </c>
      <c r="P48" s="27" t="n">
        <f aca="false">COUNTIF(F48:G48,"")+COUNTIF(I48:O48,"")-IF(AND(G48="対象外",K48=""),1,0)</f>
        <v>8</v>
      </c>
      <c r="Q48" s="11" t="str">
        <f aca="false">IF(F48="","会社名コード未設定（D4）",IF(OR(G48="",G48="n/a"),"適用性を確定（評価項目対応I列）",IF(AND(G48="対象外",OR(I48&lt;&gt;"対象外",J48&lt;&gt;"n/a")),"対象外ならR=対象外・S=n/a",IF(AND(G48="対象",OR(I48="対象外",J48="n/a")),"対象なのにR／Sが対象外・n/a",IF(AND(G48="対象",OR(I48="",J48="")),"R・Sを入力",IF(AND(ISNUMBER(J48),ISNUMBER(V48),ABS(N(J48)-N(V48))&gt;=1),"RとSの乖離（案分ならUに明記）",IF(AND(G48="対象",L48=""),"Uに制約・代替策・未検証を記載",IF(AND(G48="対象外",L48=""),"対象外の理由・承認者をUに記載",IF(OR(M48="",N48="",O48=""),"V～Xを入力",IF(P48&gt;0,"未記入あり（P列）","OK"))))))))))</f>
        <v>会社名コード未設定（D4）</v>
      </c>
      <c r="R48" s="11" t="str">
        <f aca="false">IF(INDEX(評価項目対応!$M$6:$M$236,$U48)="","",INDEX(評価項目対応!$M$6:$M$236,$U48))</f>
        <v/>
      </c>
      <c r="S48" s="11" t="str">
        <f aca="false">INDEX(評価項目対応!$H$6:$H$236,$U48)</f>
        <v>管理者ロールと一般権限を分離し、操作範囲・必要性・委託権限を確認する。</v>
      </c>
      <c r="T48" s="11" t="str">
        <f aca="false">TRIM(IF(INDEX(評価項目対応!$K$6:$K$236,$U48)="","","試験ID: "&amp;INDEX(評価項目対応!$K$6:$K$236,$U48)&amp;"　")&amp;IF(INDEX(評価項目対応!$L$6:$L$236,$U48)="","","判断理由: "&amp;INDEX(評価項目対応!$L$6:$L$236,$U48)))</f>
        <v/>
      </c>
      <c r="U48" s="28" t="n">
        <f aca="false">MATCH($A48,評価項目対応!$A$6:$A$236,0)</f>
        <v>42</v>
      </c>
      <c r="V48" s="28" t="str">
        <f aca="false">IFERROR(VLOOKUP(I48,$X$6:$Y$11,2,FALSE()),"")</f>
        <v/>
      </c>
    </row>
    <row r="49" customFormat="false" ht="78" hidden="false" customHeight="true" outlineLevel="0" collapsed="false">
      <c r="A49" s="13" t="n">
        <v>45</v>
      </c>
      <c r="B49" s="13" t="n">
        <f aca="false">INDEX(評価項目対応!$B$6:$B$236,$U49)</f>
        <v>89</v>
      </c>
      <c r="C49" s="13" t="str">
        <f aca="false">INDEX(評価項目対応!$F$6:$F$236,$U49)</f>
        <v>4.04a</v>
      </c>
      <c r="D49" s="11" t="str">
        <f aca="false">INDEX(評価項目対応!$D$6:$D$236,$U49)</f>
        <v>資格情報保護</v>
      </c>
      <c r="E49" s="11" t="str">
        <f aca="false">INDEX(評価項目対応!$E$6:$E$236,$U49)</f>
        <v>Windows 10およびServer 2016の場合はCredential Guardを、Windows Ser
ver 2012R2の場合はLocal Security Authority（LSA）用のProtected Pro
cess Light（PPL）を有効にする。</v>
      </c>
      <c r="F49" s="13" t="str">
        <f aca="false">IF($D$4="","",$D$4)</f>
        <v/>
      </c>
      <c r="G49" s="13" t="str">
        <f aca="false">IFERROR(IF(INDEX(評価項目対応!$I$6:$I$236,$U49)="対象","対象",IF(INDEX(評価項目対応!$I$6:$I$236,$U49)="対象外（承認済）","対象外",IF(INDEX(評価項目対応!$I$6:$I$236,$U49)="未確定","n/a",""))),"")</f>
        <v>n/a</v>
      </c>
      <c r="H49" s="25" t="str">
        <f aca="false">IF(ISBLANK(J49),"",IF(J49=5,"Yes",IF(J49=4,"Yes","No")))</f>
        <v/>
      </c>
      <c r="I49" s="18"/>
      <c r="J49" s="26"/>
      <c r="K49" s="18"/>
      <c r="L49" s="18"/>
      <c r="M49" s="11" t="str">
        <f aca="false">IF(INDEX(評価項目対応!$J$6:$J$236,$U49)="","",INDEX(評価項目対応!$J$6:$J$236,$U49))</f>
        <v/>
      </c>
      <c r="N49" s="11" t="str">
        <f aca="false">IF(INDEX(評価項目対応!$N$6:$N$236,$U49)="","",INDEX(評価項目対応!$N$6:$N$236,$U49))</f>
        <v/>
      </c>
      <c r="O49" s="11" t="str">
        <f aca="false">IF(INDEX(評価項目対応!$O$6:$O$236,$U49)="","",INDEX(評価項目対応!$O$6:$O$236,$U49))</f>
        <v/>
      </c>
      <c r="P49" s="27" t="n">
        <f aca="false">COUNTIF(F49:G49,"")+COUNTIF(I49:O49,"")-IF(AND(G49="対象外",K49=""),1,0)</f>
        <v>8</v>
      </c>
      <c r="Q49" s="11" t="str">
        <f aca="false">IF(F49="","会社名コード未設定（D4）",IF(OR(G49="",G49="n/a"),"適用性を確定（評価項目対応I列）",IF(AND(G49="対象外",OR(I49&lt;&gt;"対象外",J49&lt;&gt;"n/a")),"対象外ならR=対象外・S=n/a",IF(AND(G49="対象",OR(I49="対象外",J49="n/a")),"対象なのにR／Sが対象外・n/a",IF(AND(G49="対象",OR(I49="",J49="")),"R・Sを入力",IF(AND(ISNUMBER(J49),ISNUMBER(V49),ABS(N(J49)-N(V49))&gt;=1),"RとSの乖離（案分ならUに明記）",IF(AND(G49="対象",L49=""),"Uに制約・代替策・未検証を記載",IF(AND(G49="対象外",L49=""),"対象外の理由・承認者をUに記載",IF(OR(M49="",N49="",O49=""),"V～Xを入力",IF(P49&gt;0,"未記入あり（P列）","OK"))))))))))</f>
        <v>会社名コード未設定（D4）</v>
      </c>
      <c r="R49" s="11" t="str">
        <f aca="false">IF(INDEX(評価項目対応!$M$6:$M$236,$U49)="","",INDEX(評価項目対応!$M$6:$M$236,$U49))</f>
        <v/>
      </c>
      <c r="S49" s="11" t="str">
        <f aca="false">INDEX(評価項目対応!$H$6:$H$236,$U49)</f>
        <v>Windows固有の要件（PowerShell、LSASS、資格情報保護等）。ChromeOS端末は非該当だが、接続先のAD／Windows環境に適用し得るため既存証跡を確認する。対象外にする場合は理由と承認者を記録する。</v>
      </c>
      <c r="T49" s="11" t="str">
        <f aca="false">TRIM(IF(INDEX(評価項目対応!$K$6:$K$236,$U49)="","","試験ID: "&amp;INDEX(評価項目対応!$K$6:$K$236,$U49)&amp;"　")&amp;IF(INDEX(評価項目対応!$L$6:$L$236,$U49)="","","判断理由: "&amp;INDEX(評価項目対応!$L$6:$L$236,$U49)))</f>
        <v/>
      </c>
      <c r="U49" s="28" t="n">
        <f aca="false">MATCH($A49,評価項目対応!$A$6:$A$236,0)</f>
        <v>43</v>
      </c>
      <c r="V49" s="28" t="str">
        <f aca="false">IFERROR(VLOOKUP(I49,$X$6:$Y$11,2,FALSE()),"")</f>
        <v/>
      </c>
    </row>
    <row r="50" customFormat="false" ht="36" hidden="false" customHeight="true" outlineLevel="0" collapsed="false">
      <c r="A50" s="13" t="n">
        <v>46</v>
      </c>
      <c r="B50" s="13" t="n">
        <f aca="false">INDEX(評価項目対応!$B$6:$B$236,$U50)</f>
        <v>79</v>
      </c>
      <c r="C50" s="13" t="str">
        <f aca="false">INDEX(評価項目対応!$F$6:$F$236,$U50)</f>
        <v>2.06</v>
      </c>
      <c r="D50" s="11" t="str">
        <f aca="false">INDEX(評価項目対応!$D$6:$D$236,$U50)</f>
        <v>特権アカウント管理</v>
      </c>
      <c r="E50" s="11" t="str">
        <f aca="false">INDEX(評価項目対応!$E$6:$E$236,$U50)</f>
        <v>日常業務にルートアクセスアカウントを使用しない。</v>
      </c>
      <c r="F50" s="13" t="str">
        <f aca="false">IF($D$4="","",$D$4)</f>
        <v/>
      </c>
      <c r="G50" s="13" t="str">
        <f aca="false">IFERROR(IF(INDEX(評価項目対応!$I$6:$I$236,$U50)="対象","対象",IF(INDEX(評価項目対応!$I$6:$I$236,$U50)="対象外（承認済）","対象外",IF(INDEX(評価項目対応!$I$6:$I$236,$U50)="未確定","n/a",""))),"")</f>
        <v>n/a</v>
      </c>
      <c r="H50" s="25" t="str">
        <f aca="false">IF(ISBLANK(J50),"",IF(J50=5,"Yes",IF(J50=4,"Yes","No")))</f>
        <v/>
      </c>
      <c r="I50" s="18"/>
      <c r="J50" s="26"/>
      <c r="K50" s="18"/>
      <c r="L50" s="18"/>
      <c r="M50" s="11" t="str">
        <f aca="false">IF(INDEX(評価項目対応!$J$6:$J$236,$U50)="","",INDEX(評価項目対応!$J$6:$J$236,$U50))</f>
        <v/>
      </c>
      <c r="N50" s="11" t="str">
        <f aca="false">IF(INDEX(評価項目対応!$N$6:$N$236,$U50)="","",INDEX(評価項目対応!$N$6:$N$236,$U50))</f>
        <v/>
      </c>
      <c r="O50" s="11" t="str">
        <f aca="false">IF(INDEX(評価項目対応!$O$6:$O$236,$U50)="","",INDEX(評価項目対応!$O$6:$O$236,$U50))</f>
        <v/>
      </c>
      <c r="P50" s="27" t="n">
        <f aca="false">COUNTIF(F50:G50,"")+COUNTIF(I50:O50,"")-IF(AND(G50="対象外",K50=""),1,0)</f>
        <v>8</v>
      </c>
      <c r="Q50" s="11" t="str">
        <f aca="false">IF(F50="","会社名コード未設定（D4）",IF(OR(G50="",G50="n/a"),"適用性を確定（評価項目対応I列）",IF(AND(G50="対象外",OR(I50&lt;&gt;"対象外",J50&lt;&gt;"n/a")),"対象外ならR=対象外・S=n/a",IF(AND(G50="対象",OR(I50="対象外",J50="n/a")),"対象なのにR／Sが対象外・n/a",IF(AND(G50="対象",OR(I50="",J50="")),"R・Sを入力",IF(AND(ISNUMBER(J50),ISNUMBER(V50),ABS(N(J50)-N(V50))&gt;=1),"RとSの乖離（案分ならUに明記）",IF(AND(G50="対象",L50=""),"Uに制約・代替策・未検証を記載",IF(AND(G50="対象外",L50=""),"対象外の理由・承認者をUに記載",IF(OR(M50="",N50="",O50=""),"V～Xを入力",IF(P50&gt;0,"未記入あり（P列）","OK"))))))))))</f>
        <v>会社名コード未設定（D4）</v>
      </c>
      <c r="R50" s="11" t="str">
        <f aca="false">IF(INDEX(評価項目対応!$M$6:$M$236,$U50)="","",INDEX(評価項目対応!$M$6:$M$236,$U50))</f>
        <v/>
      </c>
      <c r="S50" s="11" t="str">
        <f aca="false">INDEX(評価項目対応!$H$6:$H$236,$U50)</f>
        <v>管理者ロールと一般権限を分離し、操作範囲・必要性・委託権限を確認する。</v>
      </c>
      <c r="T50" s="11" t="str">
        <f aca="false">TRIM(IF(INDEX(評価項目対応!$K$6:$K$236,$U50)="","","試験ID: "&amp;INDEX(評価項目対応!$K$6:$K$236,$U50)&amp;"　")&amp;IF(INDEX(評価項目対応!$L$6:$L$236,$U50)="","","判断理由: "&amp;INDEX(評価項目対応!$L$6:$L$236,$U50)))</f>
        <v/>
      </c>
      <c r="U50" s="28" t="n">
        <f aca="false">MATCH($A50,評価項目対応!$A$6:$A$236,0)</f>
        <v>44</v>
      </c>
      <c r="V50" s="28" t="str">
        <f aca="false">IFERROR(VLOOKUP(I50,$X$6:$Y$11,2,FALSE()),"")</f>
        <v/>
      </c>
    </row>
    <row r="51" customFormat="false" ht="120" hidden="false" customHeight="true" outlineLevel="0" collapsed="false">
      <c r="A51" s="13" t="n">
        <v>47</v>
      </c>
      <c r="B51" s="13" t="n">
        <f aca="false">INDEX(評価項目対応!$B$6:$B$236,$U51)</f>
        <v>168</v>
      </c>
      <c r="C51" s="13" t="str">
        <f aca="false">INDEX(評価項目対応!$F$6:$F$236,$U51)</f>
        <v>4.04a</v>
      </c>
      <c r="D51" s="11" t="str">
        <f aca="false">INDEX(評価項目対応!$D$6:$D$236,$U51)</f>
        <v>LSASS保護</v>
      </c>
      <c r="E51" s="11" t="str">
        <f aca="false">INDEX(評価項目対応!$E$6:$E$236,$U51)</f>
        <v>システムから資格情報を取得できるコードインジェクションを防ぐために
、LSA認証の追加保護を有効にする。
（これらの保護を有効にする前に、lsass.exeに対して監査を実行し、こ
の保護の有効化によって影響を受けるプログラムを確実に理解するように
する。）</v>
      </c>
      <c r="F51" s="13" t="str">
        <f aca="false">IF($D$4="","",$D$4)</f>
        <v/>
      </c>
      <c r="G51" s="13" t="str">
        <f aca="false">IFERROR(IF(INDEX(評価項目対応!$I$6:$I$236,$U51)="対象","対象",IF(INDEX(評価項目対応!$I$6:$I$236,$U51)="対象外（承認済）","対象外",IF(INDEX(評価項目対応!$I$6:$I$236,$U51)="未確定","n/a",""))),"")</f>
        <v>n/a</v>
      </c>
      <c r="H51" s="25" t="str">
        <f aca="false">IF(ISBLANK(J51),"",IF(J51=5,"Yes",IF(J51=4,"Yes","No")))</f>
        <v/>
      </c>
      <c r="I51" s="18"/>
      <c r="J51" s="26"/>
      <c r="K51" s="18"/>
      <c r="L51" s="18"/>
      <c r="M51" s="11" t="str">
        <f aca="false">IF(INDEX(評価項目対応!$J$6:$J$236,$U51)="","",INDEX(評価項目対応!$J$6:$J$236,$U51))</f>
        <v/>
      </c>
      <c r="N51" s="11" t="str">
        <f aca="false">IF(INDEX(評価項目対応!$N$6:$N$236,$U51)="","",INDEX(評価項目対応!$N$6:$N$236,$U51))</f>
        <v/>
      </c>
      <c r="O51" s="11" t="str">
        <f aca="false">IF(INDEX(評価項目対応!$O$6:$O$236,$U51)="","",INDEX(評価項目対応!$O$6:$O$236,$U51))</f>
        <v/>
      </c>
      <c r="P51" s="27" t="n">
        <f aca="false">COUNTIF(F51:G51,"")+COUNTIF(I51:O51,"")-IF(AND(G51="対象外",K51=""),1,0)</f>
        <v>8</v>
      </c>
      <c r="Q51" s="11" t="str">
        <f aca="false">IF(F51="","会社名コード未設定（D4）",IF(OR(G51="",G51="n/a"),"適用性を確定（評価項目対応I列）",IF(AND(G51="対象外",OR(I51&lt;&gt;"対象外",J51&lt;&gt;"n/a")),"対象外ならR=対象外・S=n/a",IF(AND(G51="対象",OR(I51="対象外",J51="n/a")),"対象なのにR／Sが対象外・n/a",IF(AND(G51="対象",OR(I51="",J51="")),"R・Sを入力",IF(AND(ISNUMBER(J51),ISNUMBER(V51),ABS(N(J51)-N(V51))&gt;=1),"RとSの乖離（案分ならUに明記）",IF(AND(G51="対象",L51=""),"Uに制約・代替策・未検証を記載",IF(AND(G51="対象外",L51=""),"対象外の理由・承認者をUに記載",IF(OR(M51="",N51="",O51=""),"V～Xを入力",IF(P51&gt;0,"未記入あり（P列）","OK"))))))))))</f>
        <v>会社名コード未設定（D4）</v>
      </c>
      <c r="R51" s="11" t="str">
        <f aca="false">IF(INDEX(評価項目対応!$M$6:$M$236,$U51)="","",INDEX(評価項目対応!$M$6:$M$236,$U51))</f>
        <v/>
      </c>
      <c r="S51" s="11" t="str">
        <f aca="false">INDEX(評価項目対応!$H$6:$H$236,$U51)</f>
        <v>Windows固有の要件（PowerShell、LSASS、資格情報保護等）。ChromeOS端末は非該当だが、接続先のAD／Windows環境に適用し得るため既存証跡を確認する。対象外にする場合は理由と承認者を記録する。</v>
      </c>
      <c r="T51" s="11" t="str">
        <f aca="false">TRIM(IF(INDEX(評価項目対応!$K$6:$K$236,$U51)="","","試験ID: "&amp;INDEX(評価項目対応!$K$6:$K$236,$U51)&amp;"　")&amp;IF(INDEX(評価項目対応!$L$6:$L$236,$U51)="","","判断理由: "&amp;INDEX(評価項目対応!$L$6:$L$236,$U51)))</f>
        <v/>
      </c>
      <c r="U51" s="28" t="n">
        <f aca="false">MATCH($A51,評価項目対応!$A$6:$A$236,0)</f>
        <v>45</v>
      </c>
      <c r="V51" s="28" t="str">
        <f aca="false">IFERROR(VLOOKUP(I51,$X$6:$Y$11,2,FALSE()),"")</f>
        <v/>
      </c>
    </row>
    <row r="52" customFormat="false" ht="105.75" hidden="false" customHeight="true" outlineLevel="0" collapsed="false">
      <c r="A52" s="13" t="n">
        <v>48</v>
      </c>
      <c r="B52" s="13" t="n">
        <f aca="false">INDEX(評価項目対応!$B$6:$B$236,$U52)</f>
        <v>77</v>
      </c>
      <c r="C52" s="13" t="str">
        <f aca="false">INDEX(評価項目対応!$F$6:$F$236,$U52)</f>
        <v>4.07</v>
      </c>
      <c r="D52" s="11" t="str">
        <f aca="false">INDEX(評価項目対応!$D$6:$D$236,$U52)</f>
        <v>アカウント管理</v>
      </c>
      <c r="E52" s="11" t="str">
        <f aca="false">INDEX(評価項目対応!$E$6:$E$236,$U52)</f>
        <v>強力なアクセスポリシーを作成して、ユーザーからリソースへのアクセス
とリソース間のアクセスを制限することにより、ゼロトラストアクセス制
御を実装する。これは、クラウド内の主要な管理リソースにとって重要で
ある。</v>
      </c>
      <c r="F52" s="13" t="str">
        <f aca="false">IF($D$4="","",$D$4)</f>
        <v/>
      </c>
      <c r="G52" s="13" t="str">
        <f aca="false">IFERROR(IF(INDEX(評価項目対応!$I$6:$I$236,$U52)="対象","対象",IF(INDEX(評価項目対応!$I$6:$I$236,$U52)="対象外（承認済）","対象外",IF(INDEX(評価項目対応!$I$6:$I$236,$U52)="未確定","n/a",""))),"")</f>
        <v>n/a</v>
      </c>
      <c r="H52" s="25" t="str">
        <f aca="false">IF(ISBLANK(J52),"",IF(J52=5,"Yes",IF(J52=4,"Yes","No")))</f>
        <v/>
      </c>
      <c r="I52" s="18"/>
      <c r="J52" s="26"/>
      <c r="K52" s="18"/>
      <c r="L52" s="18"/>
      <c r="M52" s="11" t="str">
        <f aca="false">IF(INDEX(評価項目対応!$J$6:$J$236,$U52)="","",INDEX(評価項目対応!$J$6:$J$236,$U52))</f>
        <v/>
      </c>
      <c r="N52" s="11" t="str">
        <f aca="false">IF(INDEX(評価項目対応!$N$6:$N$236,$U52)="","",INDEX(評価項目対応!$N$6:$N$236,$U52))</f>
        <v/>
      </c>
      <c r="O52" s="11" t="str">
        <f aca="false">IF(INDEX(評価項目対応!$O$6:$O$236,$U52)="","",INDEX(評価項目対応!$O$6:$O$236,$U52))</f>
        <v/>
      </c>
      <c r="P52" s="27" t="n">
        <f aca="false">COUNTIF(F52:G52,"")+COUNTIF(I52:O52,"")-IF(AND(G52="対象外",K52=""),1,0)</f>
        <v>8</v>
      </c>
      <c r="Q52" s="11" t="str">
        <f aca="false">IF(F52="","会社名コード未設定（D4）",IF(OR(G52="",G52="n/a"),"適用性を確定（評価項目対応I列）",IF(AND(G52="対象外",OR(I52&lt;&gt;"対象外",J52&lt;&gt;"n/a")),"対象外ならR=対象外・S=n/a",IF(AND(G52="対象",OR(I52="対象外",J52="n/a")),"対象なのにR／Sが対象外・n/a",IF(AND(G52="対象",OR(I52="",J52="")),"R・Sを入力",IF(AND(ISNUMBER(J52),ISNUMBER(V52),ABS(N(J52)-N(V52))&gt;=1),"RとSの乖離（案分ならUに明記）",IF(AND(G52="対象",L52=""),"Uに制約・代替策・未検証を記載",IF(AND(G52="対象外",L52=""),"対象外の理由・承認者をUに記載",IF(OR(M52="",N52="",O52=""),"V～Xを入力",IF(P52&gt;0,"未記入あり（P列）","OK"))))))))))</f>
        <v>会社名コード未設定（D4）</v>
      </c>
      <c r="R52" s="11" t="str">
        <f aca="false">IF(INDEX(評価項目対応!$M$6:$M$236,$U52)="","",INDEX(評価項目対応!$M$6:$M$236,$U52))</f>
        <v/>
      </c>
      <c r="S52" s="11" t="str">
        <f aca="false">INDEX(評価項目対応!$H$6:$H$236,$U52)</f>
        <v>アクセス制御の目的を評価する。SCP・鍵管理等は利用クラウドを特定し、Google設定と同一機能とみなさない。</v>
      </c>
      <c r="T52" s="11" t="str">
        <f aca="false">TRIM(IF(INDEX(評価項目対応!$K$6:$K$236,$U52)="","","試験ID: "&amp;INDEX(評価項目対応!$K$6:$K$236,$U52)&amp;"　")&amp;IF(INDEX(評価項目対応!$L$6:$L$236,$U52)="","","判断理由: "&amp;INDEX(評価項目対応!$L$6:$L$236,$U52)))</f>
        <v/>
      </c>
      <c r="U52" s="28" t="n">
        <f aca="false">MATCH($A52,評価項目対応!$A$6:$A$236,0)</f>
        <v>46</v>
      </c>
      <c r="V52" s="28" t="str">
        <f aca="false">IFERROR(VLOOKUP(I52,$X$6:$Y$11,2,FALSE()),"")</f>
        <v/>
      </c>
    </row>
    <row r="53" customFormat="false" ht="49.5" hidden="false" customHeight="true" outlineLevel="0" collapsed="false">
      <c r="A53" s="13" t="n">
        <v>49</v>
      </c>
      <c r="B53" s="13" t="n">
        <f aca="false">INDEX(評価項目対応!$B$6:$B$236,$U53)</f>
        <v>23</v>
      </c>
      <c r="C53" s="13" t="str">
        <f aca="false">INDEX(評価項目対応!$F$6:$F$236,$U53)</f>
        <v>4.07</v>
      </c>
      <c r="D53" s="11" t="str">
        <f aca="false">INDEX(評価項目対応!$D$6:$D$236,$U53)</f>
        <v>アクセス制御</v>
      </c>
      <c r="E53" s="11" t="str">
        <f aca="false">INDEX(評価項目対応!$E$6:$E$236,$U53)</f>
        <v>ゼロトラストアーキテクチャの中でアクセス制御の実施をできるだけ細か
く行う。</v>
      </c>
      <c r="F53" s="13" t="str">
        <f aca="false">IF($D$4="","",$D$4)</f>
        <v/>
      </c>
      <c r="G53" s="13" t="str">
        <f aca="false">IFERROR(IF(INDEX(評価項目対応!$I$6:$I$236,$U53)="対象","対象",IF(INDEX(評価項目対応!$I$6:$I$236,$U53)="対象外（承認済）","対象外",IF(INDEX(評価項目対応!$I$6:$I$236,$U53)="未確定","n/a",""))),"")</f>
        <v>n/a</v>
      </c>
      <c r="H53" s="25" t="str">
        <f aca="false">IF(ISBLANK(J53),"",IF(J53=5,"Yes",IF(J53=4,"Yes","No")))</f>
        <v/>
      </c>
      <c r="I53" s="18"/>
      <c r="J53" s="26"/>
      <c r="K53" s="18"/>
      <c r="L53" s="18"/>
      <c r="M53" s="11" t="str">
        <f aca="false">IF(INDEX(評価項目対応!$J$6:$J$236,$U53)="","",INDEX(評価項目対応!$J$6:$J$236,$U53))</f>
        <v/>
      </c>
      <c r="N53" s="11" t="str">
        <f aca="false">IF(INDEX(評価項目対応!$N$6:$N$236,$U53)="","",INDEX(評価項目対応!$N$6:$N$236,$U53))</f>
        <v/>
      </c>
      <c r="O53" s="11" t="str">
        <f aca="false">IF(INDEX(評価項目対応!$O$6:$O$236,$U53)="","",INDEX(評価項目対応!$O$6:$O$236,$U53))</f>
        <v/>
      </c>
      <c r="P53" s="27" t="n">
        <f aca="false">COUNTIF(F53:G53,"")+COUNTIF(I53:O53,"")-IF(AND(G53="対象外",K53=""),1,0)</f>
        <v>8</v>
      </c>
      <c r="Q53" s="11" t="str">
        <f aca="false">IF(F53="","会社名コード未設定（D4）",IF(OR(G53="",G53="n/a"),"適用性を確定（評価項目対応I列）",IF(AND(G53="対象外",OR(I53&lt;&gt;"対象外",J53&lt;&gt;"n/a")),"対象外ならR=対象外・S=n/a",IF(AND(G53="対象",OR(I53="対象外",J53="n/a")),"対象なのにR／Sが対象外・n/a",IF(AND(G53="対象",OR(I53="",J53="")),"R・Sを入力",IF(AND(ISNUMBER(J53),ISNUMBER(V53),ABS(N(J53)-N(V53))&gt;=1),"RとSの乖離（案分ならUに明記）",IF(AND(G53="対象",L53=""),"Uに制約・代替策・未検証を記載",IF(AND(G53="対象外",L53=""),"対象外の理由・承認者をUに記載",IF(OR(M53="",N53="",O53=""),"V～Xを入力",IF(P53&gt;0,"未記入あり（P列）","OK"))))))))))</f>
        <v>会社名コード未設定（D4）</v>
      </c>
      <c r="R53" s="11" t="str">
        <f aca="false">IF(INDEX(評価項目対応!$M$6:$M$236,$U53)="","",INDEX(評価項目対応!$M$6:$M$236,$U53))</f>
        <v/>
      </c>
      <c r="S53" s="11" t="str">
        <f aca="false">INDEX(評価項目対応!$H$6:$H$236,$U53)</f>
        <v>アクセス制御の目的を評価する。SCP・鍵管理等は利用クラウドを特定し、Google設定と同一機能とみなさない。</v>
      </c>
      <c r="T53" s="11" t="str">
        <f aca="false">TRIM(IF(INDEX(評価項目対応!$K$6:$K$236,$U53)="","","試験ID: "&amp;INDEX(評価項目対応!$K$6:$K$236,$U53)&amp;"　")&amp;IF(INDEX(評価項目対応!$L$6:$L$236,$U53)="","","判断理由: "&amp;INDEX(評価項目対応!$L$6:$L$236,$U53)))</f>
        <v/>
      </c>
      <c r="U53" s="28" t="n">
        <f aca="false">MATCH($A53,評価項目対応!$A$6:$A$236,0)</f>
        <v>47</v>
      </c>
      <c r="V53" s="28" t="str">
        <f aca="false">IFERROR(VLOOKUP(I53,$X$6:$Y$11,2,FALSE()),"")</f>
        <v/>
      </c>
    </row>
    <row r="54" customFormat="false" ht="105.75" hidden="false" customHeight="true" outlineLevel="0" collapsed="false">
      <c r="A54" s="13" t="n">
        <v>50</v>
      </c>
      <c r="B54" s="13" t="n">
        <f aca="false">INDEX(評価項目対応!$B$6:$B$236,$U54)</f>
        <v>118</v>
      </c>
      <c r="C54" s="13" t="str">
        <f aca="false">INDEX(評価項目対応!$F$6:$F$236,$U54)</f>
        <v>4.07</v>
      </c>
      <c r="D54" s="11" t="str">
        <f aca="false">INDEX(評価項目対応!$D$6:$D$236,$U54)</f>
        <v>クラウドの運用管理</v>
      </c>
      <c r="E54" s="11" t="str">
        <f aca="false">INDEX(評価項目対応!$E$6:$E$236,$U54)</f>
        <v>組織全体のユーザーまたはロールが特定のサービスにアクセスしたり、サ
ービス内で特定のアクションを実行したりできないようにするために、ク
ラウドベースのリソース用のサービス制御ポリシー（SCP）の作成を検討
する。</v>
      </c>
      <c r="F54" s="13" t="str">
        <f aca="false">IF($D$4="","",$D$4)</f>
        <v/>
      </c>
      <c r="G54" s="13" t="str">
        <f aca="false">IFERROR(IF(INDEX(評価項目対応!$I$6:$I$236,$U54)="対象","対象",IF(INDEX(評価項目対応!$I$6:$I$236,$U54)="対象外（承認済）","対象外",IF(INDEX(評価項目対応!$I$6:$I$236,$U54)="未確定","n/a",""))),"")</f>
        <v>n/a</v>
      </c>
      <c r="H54" s="25" t="str">
        <f aca="false">IF(ISBLANK(J54),"",IF(J54=5,"Yes",IF(J54=4,"Yes","No")))</f>
        <v/>
      </c>
      <c r="I54" s="18"/>
      <c r="J54" s="26"/>
      <c r="K54" s="18"/>
      <c r="L54" s="18"/>
      <c r="M54" s="11" t="str">
        <f aca="false">IF(INDEX(評価項目対応!$J$6:$J$236,$U54)="","",INDEX(評価項目対応!$J$6:$J$236,$U54))</f>
        <v/>
      </c>
      <c r="N54" s="11" t="str">
        <f aca="false">IF(INDEX(評価項目対応!$N$6:$N$236,$U54)="","",INDEX(評価項目対応!$N$6:$N$236,$U54))</f>
        <v/>
      </c>
      <c r="O54" s="11" t="str">
        <f aca="false">IF(INDEX(評価項目対応!$O$6:$O$236,$U54)="","",INDEX(評価項目対応!$O$6:$O$236,$U54))</f>
        <v/>
      </c>
      <c r="P54" s="27" t="n">
        <f aca="false">COUNTIF(F54:G54,"")+COUNTIF(I54:O54,"")-IF(AND(G54="対象外",K54=""),1,0)</f>
        <v>8</v>
      </c>
      <c r="Q54" s="11" t="str">
        <f aca="false">IF(F54="","会社名コード未設定（D4）",IF(OR(G54="",G54="n/a"),"適用性を確定（評価項目対応I列）",IF(AND(G54="対象外",OR(I54&lt;&gt;"対象外",J54&lt;&gt;"n/a")),"対象外ならR=対象外・S=n/a",IF(AND(G54="対象",OR(I54="対象外",J54="n/a")),"対象なのにR／Sが対象外・n/a",IF(AND(G54="対象",OR(I54="",J54="")),"R・Sを入力",IF(AND(ISNUMBER(J54),ISNUMBER(V54),ABS(N(J54)-N(V54))&gt;=1),"RとSの乖離（案分ならUに明記）",IF(AND(G54="対象",L54=""),"Uに制約・代替策・未検証を記載",IF(AND(G54="対象外",L54=""),"対象外の理由・承認者をUに記載",IF(OR(M54="",N54="",O54=""),"V～Xを入力",IF(P54&gt;0,"未記入あり（P列）","OK"))))))))))</f>
        <v>会社名コード未設定（D4）</v>
      </c>
      <c r="R54" s="11" t="str">
        <f aca="false">IF(INDEX(評価項目対応!$M$6:$M$236,$U54)="","",INDEX(評価項目対応!$M$6:$M$236,$U54))</f>
        <v/>
      </c>
      <c r="S54" s="11" t="str">
        <f aca="false">INDEX(評価項目対応!$H$6:$H$236,$U54)</f>
        <v>アクセス制御の目的を評価する。SCP・鍵管理等は利用クラウドを特定し、Google設定と同一機能とみなさない。</v>
      </c>
      <c r="T54" s="11" t="str">
        <f aca="false">TRIM(IF(INDEX(評価項目対応!$K$6:$K$236,$U54)="","","試験ID: "&amp;INDEX(評価項目対応!$K$6:$K$236,$U54)&amp;"　")&amp;IF(INDEX(評価項目対応!$L$6:$L$236,$U54)="","","判断理由: "&amp;INDEX(評価項目対応!$L$6:$L$236,$U54)))</f>
        <v/>
      </c>
      <c r="U54" s="28" t="n">
        <f aca="false">MATCH($A54,評価項目対応!$A$6:$A$236,0)</f>
        <v>48</v>
      </c>
      <c r="V54" s="28" t="str">
        <f aca="false">IFERROR(VLOOKUP(I54,$X$6:$Y$11,2,FALSE()),"")</f>
        <v/>
      </c>
    </row>
    <row r="55" customFormat="false" ht="49.5" hidden="false" customHeight="true" outlineLevel="0" collapsed="false">
      <c r="A55" s="13" t="n">
        <v>51</v>
      </c>
      <c r="B55" s="13" t="n">
        <f aca="false">INDEX(評価項目対応!$B$6:$B$236,$U55)</f>
        <v>126</v>
      </c>
      <c r="C55" s="13" t="str">
        <f aca="false">INDEX(評価項目対応!$F$6:$F$236,$U55)</f>
        <v>4.07</v>
      </c>
      <c r="D55" s="11" t="str">
        <f aca="false">INDEX(評価項目対応!$D$6:$D$236,$U55)</f>
        <v>クラウドの運用管理</v>
      </c>
      <c r="E55" s="11" t="str">
        <f aca="false">INDEX(評価項目対応!$E$6:$E$236,$U55)</f>
        <v>クラウドベースのリソースへのアクセスまたは変更に関するユーザー/ロ
ール権限を制限する。</v>
      </c>
      <c r="F55" s="13" t="str">
        <f aca="false">IF($D$4="","",$D$4)</f>
        <v/>
      </c>
      <c r="G55" s="13" t="str">
        <f aca="false">IFERROR(IF(INDEX(評価項目対応!$I$6:$I$236,$U55)="対象","対象",IF(INDEX(評価項目対応!$I$6:$I$236,$U55)="対象外（承認済）","対象外",IF(INDEX(評価項目対応!$I$6:$I$236,$U55)="未確定","n/a",""))),"")</f>
        <v>n/a</v>
      </c>
      <c r="H55" s="25" t="str">
        <f aca="false">IF(ISBLANK(J55),"",IF(J55=5,"Yes",IF(J55=4,"Yes","No")))</f>
        <v/>
      </c>
      <c r="I55" s="18"/>
      <c r="J55" s="26"/>
      <c r="K55" s="18"/>
      <c r="L55" s="18"/>
      <c r="M55" s="11" t="str">
        <f aca="false">IF(INDEX(評価項目対応!$J$6:$J$236,$U55)="","",INDEX(評価項目対応!$J$6:$J$236,$U55))</f>
        <v/>
      </c>
      <c r="N55" s="11" t="str">
        <f aca="false">IF(INDEX(評価項目対応!$N$6:$N$236,$U55)="","",INDEX(評価項目対応!$N$6:$N$236,$U55))</f>
        <v/>
      </c>
      <c r="O55" s="11" t="str">
        <f aca="false">IF(INDEX(評価項目対応!$O$6:$O$236,$U55)="","",INDEX(評価項目対応!$O$6:$O$236,$U55))</f>
        <v/>
      </c>
      <c r="P55" s="27" t="n">
        <f aca="false">COUNTIF(F55:G55,"")+COUNTIF(I55:O55,"")-IF(AND(G55="対象外",K55=""),1,0)</f>
        <v>8</v>
      </c>
      <c r="Q55" s="11" t="str">
        <f aca="false">IF(F55="","会社名コード未設定（D4）",IF(OR(G55="",G55="n/a"),"適用性を確定（評価項目対応I列）",IF(AND(G55="対象外",OR(I55&lt;&gt;"対象外",J55&lt;&gt;"n/a")),"対象外ならR=対象外・S=n/a",IF(AND(G55="対象",OR(I55="対象外",J55="n/a")),"対象なのにR／Sが対象外・n/a",IF(AND(G55="対象",OR(I55="",J55="")),"R・Sを入力",IF(AND(ISNUMBER(J55),ISNUMBER(V55),ABS(N(J55)-N(V55))&gt;=1),"RとSの乖離（案分ならUに明記）",IF(AND(G55="対象",L55=""),"Uに制約・代替策・未検証を記載",IF(AND(G55="対象外",L55=""),"対象外の理由・承認者をUに記載",IF(OR(M55="",N55="",O55=""),"V～Xを入力",IF(P55&gt;0,"未記入あり（P列）","OK"))))))))))</f>
        <v>会社名コード未設定（D4）</v>
      </c>
      <c r="R55" s="11" t="str">
        <f aca="false">IF(INDEX(評価項目対応!$M$6:$M$236,$U55)="","",INDEX(評価項目対応!$M$6:$M$236,$U55))</f>
        <v/>
      </c>
      <c r="S55" s="11" t="str">
        <f aca="false">INDEX(評価項目対応!$H$6:$H$236,$U55)</f>
        <v>アクセス制御の目的を評価する。SCP・鍵管理等は利用クラウドを特定し、Google設定と同一機能とみなさない。</v>
      </c>
      <c r="T55" s="11" t="str">
        <f aca="false">TRIM(IF(INDEX(評価項目対応!$K$6:$K$236,$U55)="","","試験ID: "&amp;INDEX(評価項目対応!$K$6:$K$236,$U55)&amp;"　")&amp;IF(INDEX(評価項目対応!$L$6:$L$236,$U55)="","","判断理由: "&amp;INDEX(評価項目対応!$L$6:$L$236,$U55)))</f>
        <v/>
      </c>
      <c r="U55" s="28" t="n">
        <f aca="false">MATCH($A55,評価項目対応!$A$6:$A$236,0)</f>
        <v>49</v>
      </c>
      <c r="V55" s="28" t="str">
        <f aca="false">IFERROR(VLOOKUP(I55,$X$6:$Y$11,2,FALSE()),"")</f>
        <v/>
      </c>
    </row>
    <row r="56" customFormat="false" ht="49.5" hidden="false" customHeight="true" outlineLevel="0" collapsed="false">
      <c r="A56" s="13" t="n">
        <v>52</v>
      </c>
      <c r="B56" s="13" t="n">
        <f aca="false">INDEX(評価項目対応!$B$6:$B$236,$U56)</f>
        <v>134</v>
      </c>
      <c r="C56" s="13" t="str">
        <f aca="false">INDEX(評価項目対応!$F$6:$F$236,$U56)</f>
        <v>4.07</v>
      </c>
      <c r="D56" s="11" t="str">
        <f aca="false">INDEX(評価項目対応!$D$6:$D$236,$U56)</f>
        <v>クラウドの運用管理</v>
      </c>
      <c r="E56" s="11" t="str">
        <f aca="false">INDEX(評価項目対応!$E$6:$E$236,$U56)</f>
        <v>クラウド環境（Microsoft Office 365など）に関連するベストプラクティ
スを活用し、セキュリティ設定を有効にする。</v>
      </c>
      <c r="F56" s="13" t="str">
        <f aca="false">IF($D$4="","",$D$4)</f>
        <v/>
      </c>
      <c r="G56" s="13" t="str">
        <f aca="false">IFERROR(IF(INDEX(評価項目対応!$I$6:$I$236,$U56)="対象","対象",IF(INDEX(評価項目対応!$I$6:$I$236,$U56)="対象外（承認済）","対象外",IF(INDEX(評価項目対応!$I$6:$I$236,$U56)="未確定","n/a",""))),"")</f>
        <v>n/a</v>
      </c>
      <c r="H56" s="25" t="str">
        <f aca="false">IF(ISBLANK(J56),"",IF(J56=5,"Yes",IF(J56=4,"Yes","No")))</f>
        <v/>
      </c>
      <c r="I56" s="18"/>
      <c r="J56" s="26"/>
      <c r="K56" s="18"/>
      <c r="L56" s="18"/>
      <c r="M56" s="11" t="str">
        <f aca="false">IF(INDEX(評価項目対応!$J$6:$J$236,$U56)="","",INDEX(評価項目対応!$J$6:$J$236,$U56))</f>
        <v/>
      </c>
      <c r="N56" s="11" t="str">
        <f aca="false">IF(INDEX(評価項目対応!$N$6:$N$236,$U56)="","",INDEX(評価項目対応!$N$6:$N$236,$U56))</f>
        <v/>
      </c>
      <c r="O56" s="11" t="str">
        <f aca="false">IF(INDEX(評価項目対応!$O$6:$O$236,$U56)="","",INDEX(評価項目対応!$O$6:$O$236,$U56))</f>
        <v/>
      </c>
      <c r="P56" s="27" t="n">
        <f aca="false">COUNTIF(F56:G56,"")+COUNTIF(I56:O56,"")-IF(AND(G56="対象外",K56=""),1,0)</f>
        <v>8</v>
      </c>
      <c r="Q56" s="11" t="str">
        <f aca="false">IF(F56="","会社名コード未設定（D4）",IF(OR(G56="",G56="n/a"),"適用性を確定（評価項目対応I列）",IF(AND(G56="対象外",OR(I56&lt;&gt;"対象外",J56&lt;&gt;"n/a")),"対象外ならR=対象外・S=n/a",IF(AND(G56="対象",OR(I56="対象外",J56="n/a")),"対象なのにR／Sが対象外・n/a",IF(AND(G56="対象",OR(I56="",J56="")),"R・Sを入力",IF(AND(ISNUMBER(J56),ISNUMBER(V56),ABS(N(J56)-N(V56))&gt;=1),"RとSの乖離（案分ならUに明記）",IF(AND(G56="対象",L56=""),"Uに制約・代替策・未検証を記載",IF(AND(G56="対象外",L56=""),"対象外の理由・承認者をUに記載",IF(OR(M56="",N56="",O56=""),"V～Xを入力",IF(P56&gt;0,"未記入あり（P列）","OK"))))))))))</f>
        <v>会社名コード未設定（D4）</v>
      </c>
      <c r="R56" s="11" t="str">
        <f aca="false">IF(INDEX(評価項目対応!$M$6:$M$236,$U56)="","",INDEX(評価項目対応!$M$6:$M$236,$U56))</f>
        <v/>
      </c>
      <c r="S56" s="11" t="str">
        <f aca="false">INDEX(評価項目対応!$H$6:$H$236,$U56)</f>
        <v>アクセス制御の目的を評価する。SCP・鍵管理等は利用クラウドを特定し、Google設定と同一機能とみなさない。</v>
      </c>
      <c r="T56" s="11" t="str">
        <f aca="false">TRIM(IF(INDEX(評価項目対応!$K$6:$K$236,$U56)="","","試験ID: "&amp;INDEX(評価項目対応!$K$6:$K$236,$U56)&amp;"　")&amp;IF(INDEX(評価項目対応!$L$6:$L$236,$U56)="","","判断理由: "&amp;INDEX(評価項目対応!$L$6:$L$236,$U56)))</f>
        <v/>
      </c>
      <c r="U56" s="28" t="n">
        <f aca="false">MATCH($A56,評価項目対応!$A$6:$A$236,0)</f>
        <v>50</v>
      </c>
      <c r="V56" s="28" t="str">
        <f aca="false">IFERROR(VLOOKUP(I56,$X$6:$Y$11,2,FALSE()),"")</f>
        <v/>
      </c>
    </row>
    <row r="57" customFormat="false" ht="49.5" hidden="false" customHeight="true" outlineLevel="0" collapsed="false">
      <c r="A57" s="13" t="n">
        <v>53</v>
      </c>
      <c r="B57" s="13" t="n">
        <f aca="false">INDEX(評価項目対応!$B$6:$B$236,$U57)</f>
        <v>135</v>
      </c>
      <c r="C57" s="13" t="str">
        <f aca="false">INDEX(評価項目対応!$F$6:$F$236,$U57)</f>
        <v>5.08</v>
      </c>
      <c r="D57" s="11" t="str">
        <f aca="false">INDEX(評価項目対応!$D$6:$D$236,$U57)</f>
        <v>クラウドの運用管理</v>
      </c>
      <c r="E57" s="11" t="str">
        <f aca="false">INDEX(評価項目対応!$E$6:$E$236,$U57)</f>
        <v>クラウドの共有責任モデルをレビューし、資産保護に関して何が顧客の責
任であるかを確実に理解する。</v>
      </c>
      <c r="F57" s="13" t="str">
        <f aca="false">IF($D$4="","",$D$4)</f>
        <v/>
      </c>
      <c r="G57" s="13" t="str">
        <f aca="false">IFERROR(IF(INDEX(評価項目対応!$I$6:$I$236,$U57)="対象","対象",IF(INDEX(評価項目対応!$I$6:$I$236,$U57)="対象外（承認済）","対象外",IF(INDEX(評価項目対応!$I$6:$I$236,$U57)="未確定","n/a",""))),"")</f>
        <v>n/a</v>
      </c>
      <c r="H57" s="25" t="str">
        <f aca="false">IF(ISBLANK(J57),"",IF(J57=5,"Yes",IF(J57=4,"Yes","No")))</f>
        <v/>
      </c>
      <c r="I57" s="18"/>
      <c r="J57" s="26"/>
      <c r="K57" s="18"/>
      <c r="L57" s="18"/>
      <c r="M57" s="11" t="str">
        <f aca="false">IF(INDEX(評価項目対応!$J$6:$J$236,$U57)="","",INDEX(評価項目対応!$J$6:$J$236,$U57))</f>
        <v/>
      </c>
      <c r="N57" s="11" t="str">
        <f aca="false">IF(INDEX(評価項目対応!$N$6:$N$236,$U57)="","",INDEX(評価項目対応!$N$6:$N$236,$U57))</f>
        <v/>
      </c>
      <c r="O57" s="11" t="str">
        <f aca="false">IF(INDEX(評価項目対応!$O$6:$O$236,$U57)="","",INDEX(評価項目対応!$O$6:$O$236,$U57))</f>
        <v/>
      </c>
      <c r="P57" s="27" t="n">
        <f aca="false">COUNTIF(F57:G57,"")+COUNTIF(I57:O57,"")-IF(AND(G57="対象外",K57=""),1,0)</f>
        <v>8</v>
      </c>
      <c r="Q57" s="11" t="str">
        <f aca="false">IF(F57="","会社名コード未設定（D4）",IF(OR(G57="",G57="n/a"),"適用性を確定（評価項目対応I列）",IF(AND(G57="対象外",OR(I57&lt;&gt;"対象外",J57&lt;&gt;"n/a")),"対象外ならR=対象外・S=n/a",IF(AND(G57="対象",OR(I57="対象外",J57="n/a")),"対象なのにR／Sが対象外・n/a",IF(AND(G57="対象",OR(I57="",J57="")),"R・Sを入力",IF(AND(ISNUMBER(J57),ISNUMBER(V57),ABS(N(J57)-N(V57))&gt;=1),"RとSの乖離（案分ならUに明記）",IF(AND(G57="対象",L57=""),"Uに制約・代替策・未検証を記載",IF(AND(G57="対象外",L57=""),"対象外の理由・承認者をUに記載",IF(OR(M57="",N57="",O57=""),"V～Xを入力",IF(P57&gt;0,"未記入あり（P列）","OK"))))))))))</f>
        <v>会社名コード未設定（D4）</v>
      </c>
      <c r="R57" s="11" t="str">
        <f aca="false">IF(INDEX(評価項目対応!$M$6:$M$236,$U57)="","",INDEX(評価項目対応!$M$6:$M$236,$U57))</f>
        <v/>
      </c>
      <c r="S57" s="11" t="str">
        <f aca="false">INDEX(評価項目対応!$H$6:$H$236,$U57)</f>
        <v>Google・販売店・運用委託先の責任分界、報告、最小権限と契約・管理手順を確認する。</v>
      </c>
      <c r="T57" s="11" t="str">
        <f aca="false">TRIM(IF(INDEX(評価項目対応!$K$6:$K$236,$U57)="","","試験ID: "&amp;INDEX(評価項目対応!$K$6:$K$236,$U57)&amp;"　")&amp;IF(INDEX(評価項目対応!$L$6:$L$236,$U57)="","","判断理由: "&amp;INDEX(評価項目対応!$L$6:$L$236,$U57)))</f>
        <v/>
      </c>
      <c r="U57" s="28" t="n">
        <f aca="false">MATCH($A57,評価項目対応!$A$6:$A$236,0)</f>
        <v>51</v>
      </c>
      <c r="V57" s="28" t="str">
        <f aca="false">IFERROR(VLOOKUP(I57,$X$6:$Y$11,2,FALSE()),"")</f>
        <v/>
      </c>
    </row>
    <row r="58" customFormat="false" ht="49.5" hidden="false" customHeight="true" outlineLevel="0" collapsed="false">
      <c r="A58" s="13" t="n">
        <v>54</v>
      </c>
      <c r="B58" s="13" t="n">
        <f aca="false">INDEX(評価項目対応!$B$6:$B$236,$U58)</f>
        <v>22</v>
      </c>
      <c r="C58" s="13" t="str">
        <f aca="false">INDEX(評価項目対応!$F$6:$F$236,$U58)</f>
        <v>4.07</v>
      </c>
      <c r="D58" s="11" t="str">
        <f aca="false">INDEX(評価項目対応!$D$6:$D$236,$U58)</f>
        <v>ゼロトラストの実装</v>
      </c>
      <c r="E58" s="11" t="str">
        <f aca="false">INDEX(評価項目対応!$E$6:$E$236,$U58)</f>
        <v>データとサービスへの不正アクセスを防止するためにゼロトラストアーキ
テクチャを実装する。</v>
      </c>
      <c r="F58" s="13" t="str">
        <f aca="false">IF($D$4="","",$D$4)</f>
        <v/>
      </c>
      <c r="G58" s="13" t="str">
        <f aca="false">IFERROR(IF(INDEX(評価項目対応!$I$6:$I$236,$U58)="対象","対象",IF(INDEX(評価項目対応!$I$6:$I$236,$U58)="対象外（承認済）","対象外",IF(INDEX(評価項目対応!$I$6:$I$236,$U58)="未確定","n/a",""))),"")</f>
        <v>n/a</v>
      </c>
      <c r="H58" s="25" t="str">
        <f aca="false">IF(ISBLANK(J58),"",IF(J58=5,"Yes",IF(J58=4,"Yes","No")))</f>
        <v/>
      </c>
      <c r="I58" s="18"/>
      <c r="J58" s="26"/>
      <c r="K58" s="18"/>
      <c r="L58" s="18"/>
      <c r="M58" s="11" t="str">
        <f aca="false">IF(INDEX(評価項目対応!$J$6:$J$236,$U58)="","",INDEX(評価項目対応!$J$6:$J$236,$U58))</f>
        <v/>
      </c>
      <c r="N58" s="11" t="str">
        <f aca="false">IF(INDEX(評価項目対応!$N$6:$N$236,$U58)="","",INDEX(評価項目対応!$N$6:$N$236,$U58))</f>
        <v/>
      </c>
      <c r="O58" s="11" t="str">
        <f aca="false">IF(INDEX(評価項目対応!$O$6:$O$236,$U58)="","",INDEX(評価項目対応!$O$6:$O$236,$U58))</f>
        <v/>
      </c>
      <c r="P58" s="27" t="n">
        <f aca="false">COUNTIF(F58:G58,"")+COUNTIF(I58:O58,"")-IF(AND(G58="対象外",K58=""),1,0)</f>
        <v>8</v>
      </c>
      <c r="Q58" s="11" t="str">
        <f aca="false">IF(F58="","会社名コード未設定（D4）",IF(OR(G58="",G58="n/a"),"適用性を確定（評価項目対応I列）",IF(AND(G58="対象外",OR(I58&lt;&gt;"対象外",J58&lt;&gt;"n/a")),"対象外ならR=対象外・S=n/a",IF(AND(G58="対象",OR(I58="対象外",J58="n/a")),"対象なのにR／Sが対象外・n/a",IF(AND(G58="対象",OR(I58="",J58="")),"R・Sを入力",IF(AND(ISNUMBER(J58),ISNUMBER(V58),ABS(N(J58)-N(V58))&gt;=1),"RとSの乖離（案分ならUに明記）",IF(AND(G58="対象",L58=""),"Uに制約・代替策・未検証を記載",IF(AND(G58="対象外",L58=""),"対象外の理由・承認者をUに記載",IF(OR(M58="",N58="",O58=""),"V～Xを入力",IF(P58&gt;0,"未記入あり（P列）","OK"))))))))))</f>
        <v>会社名コード未設定（D4）</v>
      </c>
      <c r="R58" s="11" t="str">
        <f aca="false">IF(INDEX(評価項目対応!$M$6:$M$236,$U58)="","",INDEX(評価項目対応!$M$6:$M$236,$U58))</f>
        <v/>
      </c>
      <c r="S58" s="11" t="str">
        <f aca="false">INDEX(評価項目対応!$H$6:$H$236,$U58)</f>
        <v>アクセス制御の目的を評価する。SCP・鍵管理等は利用クラウドを特定し、Google設定と同一機能とみなさない。</v>
      </c>
      <c r="T58" s="11" t="str">
        <f aca="false">TRIM(IF(INDEX(評価項目対応!$K$6:$K$236,$U58)="","","試験ID: "&amp;INDEX(評価項目対応!$K$6:$K$236,$U58)&amp;"　")&amp;IF(INDEX(評価項目対応!$L$6:$L$236,$U58)="","","判断理由: "&amp;INDEX(評価項目対応!$L$6:$L$236,$U58)))</f>
        <v/>
      </c>
      <c r="U58" s="28" t="n">
        <f aca="false">MATCH($A58,評価項目対応!$A$6:$A$236,0)</f>
        <v>52</v>
      </c>
      <c r="V58" s="28" t="str">
        <f aca="false">IFERROR(VLOOKUP(I58,$X$6:$Y$11,2,FALSE()),"")</f>
        <v/>
      </c>
    </row>
    <row r="59" customFormat="false" ht="78" hidden="false" customHeight="true" outlineLevel="0" collapsed="false">
      <c r="A59" s="13" t="n">
        <v>55</v>
      </c>
      <c r="B59" s="13" t="n">
        <f aca="false">INDEX(評価項目対応!$B$6:$B$236,$U59)</f>
        <v>143</v>
      </c>
      <c r="C59" s="13" t="str">
        <f aca="false">INDEX(評価項目対応!$F$6:$F$236,$U59)</f>
        <v>4.07</v>
      </c>
      <c r="D59" s="11" t="str">
        <f aca="false">INDEX(評価項目対応!$D$6:$D$236,$U59)</f>
        <v>ゼロトラストの実装</v>
      </c>
      <c r="E59" s="11" t="str">
        <f aca="false">INDEX(評価項目対応!$E$6:$E$236,$U59)</f>
        <v>ゼロトラストアーキテクチャを実装し、組織内のさまざまなビジネスユニ
ットや部門のITリソースを分離することにより、論理的または物理的なネ
ットワークセグメンテーションを採用する。</v>
      </c>
      <c r="F59" s="13" t="str">
        <f aca="false">IF($D$4="","",$D$4)</f>
        <v/>
      </c>
      <c r="G59" s="13" t="str">
        <f aca="false">IFERROR(IF(INDEX(評価項目対応!$I$6:$I$236,$U59)="対象","対象",IF(INDEX(評価項目対応!$I$6:$I$236,$U59)="対象外（承認済）","対象外",IF(INDEX(評価項目対応!$I$6:$I$236,$U59)="未確定","n/a",""))),"")</f>
        <v>n/a</v>
      </c>
      <c r="H59" s="25" t="str">
        <f aca="false">IF(ISBLANK(J59),"",IF(J59=5,"Yes",IF(J59=4,"Yes","No")))</f>
        <v/>
      </c>
      <c r="I59" s="18"/>
      <c r="J59" s="26"/>
      <c r="K59" s="18"/>
      <c r="L59" s="18"/>
      <c r="M59" s="11" t="str">
        <f aca="false">IF(INDEX(評価項目対応!$J$6:$J$236,$U59)="","",INDEX(評価項目対応!$J$6:$J$236,$U59))</f>
        <v/>
      </c>
      <c r="N59" s="11" t="str">
        <f aca="false">IF(INDEX(評価項目対応!$N$6:$N$236,$U59)="","",INDEX(評価項目対応!$N$6:$N$236,$U59))</f>
        <v/>
      </c>
      <c r="O59" s="11" t="str">
        <f aca="false">IF(INDEX(評価項目対応!$O$6:$O$236,$U59)="","",INDEX(評価項目対応!$O$6:$O$236,$U59))</f>
        <v/>
      </c>
      <c r="P59" s="27" t="n">
        <f aca="false">COUNTIF(F59:G59,"")+COUNTIF(I59:O59,"")-IF(AND(G59="対象外",K59=""),1,0)</f>
        <v>8</v>
      </c>
      <c r="Q59" s="11" t="str">
        <f aca="false">IF(F59="","会社名コード未設定（D4）",IF(OR(G59="",G59="n/a"),"適用性を確定（評価項目対応I列）",IF(AND(G59="対象外",OR(I59&lt;&gt;"対象外",J59&lt;&gt;"n/a")),"対象外ならR=対象外・S=n/a",IF(AND(G59="対象",OR(I59="対象外",J59="n/a")),"対象なのにR／Sが対象外・n/a",IF(AND(G59="対象",OR(I59="",J59="")),"R・Sを入力",IF(AND(ISNUMBER(J59),ISNUMBER(V59),ABS(N(J59)-N(V59))&gt;=1),"RとSの乖離（案分ならUに明記）",IF(AND(G59="対象",L59=""),"Uに制約・代替策・未検証を記載",IF(AND(G59="対象外",L59=""),"対象外の理由・承認者をUに記載",IF(OR(M59="",N59="",O59=""),"V～Xを入力",IF(P59&gt;0,"未記入あり（P列）","OK"))))))))))</f>
        <v>会社名コード未設定（D4）</v>
      </c>
      <c r="R59" s="11" t="str">
        <f aca="false">IF(INDEX(評価項目対応!$M$6:$M$236,$U59)="","",INDEX(評価項目対応!$M$6:$M$236,$U59))</f>
        <v/>
      </c>
      <c r="S59" s="11" t="str">
        <f aca="false">INDEX(評価項目対応!$H$6:$H$236,$U59)</f>
        <v>アクセス制御の目的を評価する。SCP・鍵管理等は利用クラウドを特定し、Google設定と同一機能とみなさない。</v>
      </c>
      <c r="T59" s="11" t="str">
        <f aca="false">TRIM(IF(INDEX(評価項目対応!$K$6:$K$236,$U59)="","","試験ID: "&amp;INDEX(評価項目対応!$K$6:$K$236,$U59)&amp;"　")&amp;IF(INDEX(評価項目対応!$L$6:$L$236,$U59)="","","判断理由: "&amp;INDEX(評価項目対応!$L$6:$L$236,$U59)))</f>
        <v/>
      </c>
      <c r="U59" s="28" t="n">
        <f aca="false">MATCH($A59,評価項目対応!$A$6:$A$236,0)</f>
        <v>53</v>
      </c>
      <c r="V59" s="28" t="str">
        <f aca="false">IFERROR(VLOOKUP(I59,$X$6:$Y$11,2,FALSE()),"")</f>
        <v/>
      </c>
    </row>
    <row r="60" customFormat="false" ht="49.5" hidden="false" customHeight="true" outlineLevel="0" collapsed="false">
      <c r="A60" s="13" t="n">
        <v>56</v>
      </c>
      <c r="B60" s="13" t="n">
        <f aca="false">INDEX(評価項目対応!$B$6:$B$236,$U60)</f>
        <v>127</v>
      </c>
      <c r="C60" s="13" t="str">
        <f aca="false">INDEX(評価項目対応!$F$6:$F$236,$U60)</f>
        <v>4.07</v>
      </c>
      <c r="D60" s="11" t="str">
        <f aca="false">INDEX(評価項目対応!$D$6:$D$236,$U60)</f>
        <v>鍵管理</v>
      </c>
      <c r="E60" s="11" t="str">
        <f aca="false">INDEX(評価項目対応!$E$6:$E$236,$U60)</f>
        <v>特定のユーザー/ロールによるカスタマーマネージドキーに対して実行で
きるアクションを制限する。</v>
      </c>
      <c r="F60" s="13" t="str">
        <f aca="false">IF($D$4="","",$D$4)</f>
        <v/>
      </c>
      <c r="G60" s="13" t="str">
        <f aca="false">IFERROR(IF(INDEX(評価項目対応!$I$6:$I$236,$U60)="対象","対象",IF(INDEX(評価項目対応!$I$6:$I$236,$U60)="対象外（承認済）","対象外",IF(INDEX(評価項目対応!$I$6:$I$236,$U60)="未確定","n/a",""))),"")</f>
        <v>n/a</v>
      </c>
      <c r="H60" s="25" t="str">
        <f aca="false">IF(ISBLANK(J60),"",IF(J60=5,"Yes",IF(J60=4,"Yes","No")))</f>
        <v/>
      </c>
      <c r="I60" s="18"/>
      <c r="J60" s="26"/>
      <c r="K60" s="18"/>
      <c r="L60" s="18"/>
      <c r="M60" s="11" t="str">
        <f aca="false">IF(INDEX(評価項目対応!$J$6:$J$236,$U60)="","",INDEX(評価項目対応!$J$6:$J$236,$U60))</f>
        <v/>
      </c>
      <c r="N60" s="11" t="str">
        <f aca="false">IF(INDEX(評価項目対応!$N$6:$N$236,$U60)="","",INDEX(評価項目対応!$N$6:$N$236,$U60))</f>
        <v/>
      </c>
      <c r="O60" s="11" t="str">
        <f aca="false">IF(INDEX(評価項目対応!$O$6:$O$236,$U60)="","",INDEX(評価項目対応!$O$6:$O$236,$U60))</f>
        <v/>
      </c>
      <c r="P60" s="27" t="n">
        <f aca="false">COUNTIF(F60:G60,"")+COUNTIF(I60:O60,"")-IF(AND(G60="対象外",K60=""),1,0)</f>
        <v>8</v>
      </c>
      <c r="Q60" s="11" t="str">
        <f aca="false">IF(F60="","会社名コード未設定（D4）",IF(OR(G60="",G60="n/a"),"適用性を確定（評価項目対応I列）",IF(AND(G60="対象外",OR(I60&lt;&gt;"対象外",J60&lt;&gt;"n/a")),"対象外ならR=対象外・S=n/a",IF(AND(G60="対象",OR(I60="対象外",J60="n/a")),"対象なのにR／Sが対象外・n/a",IF(AND(G60="対象",OR(I60="",J60="")),"R・Sを入力",IF(AND(ISNUMBER(J60),ISNUMBER(V60),ABS(N(J60)-N(V60))&gt;=1),"RとSの乖離（案分ならUに明記）",IF(AND(G60="対象",L60=""),"Uに制約・代替策・未検証を記載",IF(AND(G60="対象外",L60=""),"対象外の理由・承認者をUに記載",IF(OR(M60="",N60="",O60=""),"V～Xを入力",IF(P60&gt;0,"未記入あり（P列）","OK"))))))))))</f>
        <v>会社名コード未設定（D4）</v>
      </c>
      <c r="R60" s="11" t="str">
        <f aca="false">IF(INDEX(評価項目対応!$M$6:$M$236,$U60)="","",INDEX(評価項目対応!$M$6:$M$236,$U60))</f>
        <v/>
      </c>
      <c r="S60" s="11" t="str">
        <f aca="false">INDEX(評価項目対応!$H$6:$H$236,$U60)</f>
        <v>アクセス制御の目的を評価する。SCP・鍵管理等は利用クラウドを特定し、Google設定と同一機能とみなさない。</v>
      </c>
      <c r="T60" s="11" t="str">
        <f aca="false">TRIM(IF(INDEX(評価項目対応!$K$6:$K$236,$U60)="","","試験ID: "&amp;INDEX(評価項目対応!$K$6:$K$236,$U60)&amp;"　")&amp;IF(INDEX(評価項目対応!$L$6:$L$236,$U60)="","","判断理由: "&amp;INDEX(評価項目対応!$L$6:$L$236,$U60)))</f>
        <v/>
      </c>
      <c r="U60" s="28" t="n">
        <f aca="false">MATCH($A60,評価項目対応!$A$6:$A$236,0)</f>
        <v>54</v>
      </c>
      <c r="V60" s="28" t="str">
        <f aca="false">IFERROR(VLOOKUP(I60,$X$6:$Y$11,2,FALSE()),"")</f>
        <v/>
      </c>
    </row>
    <row r="61" customFormat="false" ht="36" hidden="false" customHeight="true" outlineLevel="0" collapsed="false">
      <c r="A61" s="13" t="n">
        <v>57</v>
      </c>
      <c r="B61" s="13" t="n">
        <f aca="false">INDEX(評価項目対応!$B$6:$B$236,$U61)</f>
        <v>49</v>
      </c>
      <c r="C61" s="13" t="str">
        <f aca="false">INDEX(評価項目対応!$F$6:$F$236,$U61)</f>
        <v>3.07</v>
      </c>
      <c r="D61" s="11" t="str">
        <f aca="false">INDEX(評価項目対応!$D$6:$D$236,$U61)</f>
        <v>VPN管理</v>
      </c>
      <c r="E61" s="11" t="str">
        <f aca="false">INDEX(評価項目対応!$E$6:$E$236,$U61)</f>
        <v>VPNを最新のソフトウェアパッチとセキュリティ設定で更新する。</v>
      </c>
      <c r="F61" s="13" t="str">
        <f aca="false">IF($D$4="","",$D$4)</f>
        <v/>
      </c>
      <c r="G61" s="13" t="str">
        <f aca="false">IFERROR(IF(INDEX(評価項目対応!$I$6:$I$236,$U61)="対象","対象",IF(INDEX(評価項目対応!$I$6:$I$236,$U61)="対象外（承認済）","対象外",IF(INDEX(評価項目対応!$I$6:$I$236,$U61)="未確定","n/a",""))),"")</f>
        <v>n/a</v>
      </c>
      <c r="H61" s="25" t="str">
        <f aca="false">IF(ISBLANK(J61),"",IF(J61=5,"Yes",IF(J61=4,"Yes","No")))</f>
        <v/>
      </c>
      <c r="I61" s="18"/>
      <c r="J61" s="26"/>
      <c r="K61" s="18"/>
      <c r="L61" s="18"/>
      <c r="M61" s="11" t="str">
        <f aca="false">IF(INDEX(評価項目対応!$J$6:$J$236,$U61)="","",INDEX(評価項目対応!$J$6:$J$236,$U61))</f>
        <v/>
      </c>
      <c r="N61" s="11" t="str">
        <f aca="false">IF(INDEX(評価項目対応!$N$6:$N$236,$U61)="","",INDEX(評価項目対応!$N$6:$N$236,$U61))</f>
        <v/>
      </c>
      <c r="O61" s="11" t="str">
        <f aca="false">IF(INDEX(評価項目対応!$O$6:$O$236,$U61)="","",INDEX(評価項目対応!$O$6:$O$236,$U61))</f>
        <v/>
      </c>
      <c r="P61" s="27" t="n">
        <f aca="false">COUNTIF(F61:G61,"")+COUNTIF(I61:O61,"")-IF(AND(G61="対象外",K61=""),1,0)</f>
        <v>8</v>
      </c>
      <c r="Q61" s="11" t="str">
        <f aca="false">IF(F61="","会社名コード未設定（D4）",IF(OR(G61="",G61="n/a"),"適用性を確定（評価項目対応I列）",IF(AND(G61="対象外",OR(I61&lt;&gt;"対象外",J61&lt;&gt;"n/a")),"対象外ならR=対象外・S=n/a",IF(AND(G61="対象",OR(I61="対象外",J61="n/a")),"対象なのにR／Sが対象外・n/a",IF(AND(G61="対象",OR(I61="",J61="")),"R・Sを入力",IF(AND(ISNUMBER(J61),ISNUMBER(V61),ABS(N(J61)-N(V61))&gt;=1),"RとSの乖離（案分ならUに明記）",IF(AND(G61="対象",L61=""),"Uに制約・代替策・未検証を記載",IF(AND(G61="対象外",L61=""),"対象外の理由・承認者をUに記載",IF(OR(M61="",N61="",O61=""),"V～Xを入力",IF(P61&gt;0,"未記入あり（P列）","OK"))))))))))</f>
        <v>会社名コード未設定（D4）</v>
      </c>
      <c r="R61" s="11" t="str">
        <f aca="false">IF(INDEX(評価項目対応!$M$6:$M$236,$U61)="","",INDEX(評価項目対応!$M$6:$M$236,$U61))</f>
        <v/>
      </c>
      <c r="S61" s="11" t="str">
        <f aca="false">INDEX(評価項目対応!$H$6:$H$236,$U61)</f>
        <v>ChromeOSと接続先・ネットワーク製品を分けて脆弱性・更新運用を確認する。</v>
      </c>
      <c r="T61" s="11" t="str">
        <f aca="false">TRIM(IF(INDEX(評価項目対応!$K$6:$K$236,$U61)="","","試験ID: "&amp;INDEX(評価項目対応!$K$6:$K$236,$U61)&amp;"　")&amp;IF(INDEX(評価項目対応!$L$6:$L$236,$U61)="","","判断理由: "&amp;INDEX(評価項目対応!$L$6:$L$236,$U61)))</f>
        <v/>
      </c>
      <c r="U61" s="28" t="n">
        <f aca="false">MATCH($A61,評価項目対応!$A$6:$A$236,0)</f>
        <v>55</v>
      </c>
      <c r="V61" s="28" t="str">
        <f aca="false">IFERROR(VLOOKUP(I61,$X$6:$Y$11,2,FALSE()),"")</f>
        <v/>
      </c>
    </row>
    <row r="62" customFormat="false" ht="63.75" hidden="false" customHeight="true" outlineLevel="0" collapsed="false">
      <c r="A62" s="13" t="n">
        <v>58</v>
      </c>
      <c r="B62" s="13" t="n">
        <f aca="false">INDEX(評価項目対応!$B$6:$B$236,$U62)</f>
        <v>83</v>
      </c>
      <c r="C62" s="13" t="str">
        <f aca="false">INDEX(評価項目対応!$F$6:$F$236,$U62)</f>
        <v>2.05</v>
      </c>
      <c r="D62" s="11" t="str">
        <f aca="false">INDEX(評価項目対応!$D$6:$D$236,$U62)</f>
        <v>アカウント管理</v>
      </c>
      <c r="E62" s="11" t="str">
        <f aca="false">INDEX(評価項目対応!$E$6:$E$236,$U62)</f>
        <v>一定回数のログイン失敗後にアカウントをロックアウトするポリシーを実
施する。</v>
      </c>
      <c r="F62" s="13" t="str">
        <f aca="false">IF($D$4="","",$D$4)</f>
        <v/>
      </c>
      <c r="G62" s="13" t="str">
        <f aca="false">IFERROR(IF(INDEX(評価項目対応!$I$6:$I$236,$U62)="対象","対象",IF(INDEX(評価項目対応!$I$6:$I$236,$U62)="対象外（承認済）","対象外",IF(INDEX(評価項目対応!$I$6:$I$236,$U62)="未確定","n/a",""))),"")</f>
        <v>n/a</v>
      </c>
      <c r="H62" s="25" t="str">
        <f aca="false">IF(ISBLANK(J62),"",IF(J62=5,"Yes",IF(J62=4,"Yes","No")))</f>
        <v/>
      </c>
      <c r="I62" s="18"/>
      <c r="J62" s="26"/>
      <c r="K62" s="18"/>
      <c r="L62" s="18"/>
      <c r="M62" s="11" t="str">
        <f aca="false">IF(INDEX(評価項目対応!$J$6:$J$236,$U62)="","",INDEX(評価項目対応!$J$6:$J$236,$U62))</f>
        <v/>
      </c>
      <c r="N62" s="11" t="str">
        <f aca="false">IF(INDEX(評価項目対応!$N$6:$N$236,$U62)="","",INDEX(評価項目対応!$N$6:$N$236,$U62))</f>
        <v/>
      </c>
      <c r="O62" s="11" t="str">
        <f aca="false">IF(INDEX(評価項目対応!$O$6:$O$236,$U62)="","",INDEX(評価項目対応!$O$6:$O$236,$U62))</f>
        <v/>
      </c>
      <c r="P62" s="27" t="n">
        <f aca="false">COUNTIF(F62:G62,"")+COUNTIF(I62:O62,"")-IF(AND(G62="対象外",K62=""),1,0)</f>
        <v>8</v>
      </c>
      <c r="Q62" s="11" t="str">
        <f aca="false">IF(F62="","会社名コード未設定（D4）",IF(OR(G62="",G62="n/a"),"適用性を確定（評価項目対応I列）",IF(AND(G62="対象外",OR(I62&lt;&gt;"対象外",J62&lt;&gt;"n/a")),"対象外ならR=対象外・S=n/a",IF(AND(G62="対象",OR(I62="対象外",J62="n/a")),"対象なのにR／Sが対象外・n/a",IF(AND(G62="対象",OR(I62="",J62="")),"R・Sを入力",IF(AND(ISNUMBER(J62),ISNUMBER(V62),ABS(N(J62)-N(V62))&gt;=1),"RとSの乖離（案分ならUに明記）",IF(AND(G62="対象",L62=""),"Uに制約・代替策・未検証を記載",IF(AND(G62="対象外",L62=""),"対象外の理由・承認者をUに記載",IF(OR(M62="",N62="",O62=""),"V～Xを入力",IF(P62&gt;0,"未記入あり（P列）","OK"))))))))))</f>
        <v>会社名コード未設定（D4）</v>
      </c>
      <c r="R62" s="11" t="str">
        <f aca="false">IF(INDEX(評価項目対応!$M$6:$M$236,$U62)="","",INDEX(評価項目対応!$M$6:$M$236,$U62))</f>
        <v>5.03</v>
      </c>
      <c r="S62" s="11" t="str">
        <f aca="false">INDEX(評価項目対応!$H$6:$H$236,$U62)</f>
        <v>認証情報保護、保存制限、認証失敗監視を原要求と比較する。非対応機能は代替策と差分を記録する。 端末側のログ・上報（Chromeイベント、システムログ、端末上の失敗ログイン）の確認（5.03）も根拠にする。</v>
      </c>
      <c r="T62" s="11" t="str">
        <f aca="false">TRIM(IF(INDEX(評価項目対応!$K$6:$K$236,$U62)="","","試験ID: "&amp;INDEX(評価項目対応!$K$6:$K$236,$U62)&amp;"　")&amp;IF(INDEX(評価項目対応!$L$6:$L$236,$U62)="","","判断理由: "&amp;INDEX(評価項目対応!$L$6:$L$236,$U62)))</f>
        <v/>
      </c>
      <c r="U62" s="28" t="n">
        <f aca="false">MATCH($A62,評価項目対応!$A$6:$A$236,0)</f>
        <v>56</v>
      </c>
      <c r="V62" s="28" t="str">
        <f aca="false">IFERROR(VLOOKUP(I62,$X$6:$Y$11,2,FALSE()),"")</f>
        <v/>
      </c>
    </row>
    <row r="63" customFormat="false" ht="63.75" hidden="false" customHeight="true" outlineLevel="0" collapsed="false">
      <c r="A63" s="13" t="n">
        <v>59</v>
      </c>
      <c r="B63" s="13" t="n">
        <f aca="false">INDEX(評価項目対応!$B$6:$B$236,$U63)</f>
        <v>84</v>
      </c>
      <c r="C63" s="13" t="str">
        <f aca="false">INDEX(評価項目対応!$F$6:$F$236,$U63)</f>
        <v>2.05</v>
      </c>
      <c r="D63" s="11" t="str">
        <f aca="false">INDEX(評価項目対応!$D$6:$D$236,$U63)</f>
        <v>アカウント管理</v>
      </c>
      <c r="E63" s="11" t="str">
        <f aca="false">INDEX(評価項目対応!$E$6:$E$236,$U63)</f>
        <v>ブルートフォースパスワードクラッキングとパスワードスプレーのための
ログイン試行をログに記録し監視する。</v>
      </c>
      <c r="F63" s="13" t="str">
        <f aca="false">IF($D$4="","",$D$4)</f>
        <v/>
      </c>
      <c r="G63" s="13" t="str">
        <f aca="false">IFERROR(IF(INDEX(評価項目対応!$I$6:$I$236,$U63)="対象","対象",IF(INDEX(評価項目対応!$I$6:$I$236,$U63)="対象外（承認済）","対象外",IF(INDEX(評価項目対応!$I$6:$I$236,$U63)="未確定","n/a",""))),"")</f>
        <v>n/a</v>
      </c>
      <c r="H63" s="25" t="str">
        <f aca="false">IF(ISBLANK(J63),"",IF(J63=5,"Yes",IF(J63=4,"Yes","No")))</f>
        <v/>
      </c>
      <c r="I63" s="18"/>
      <c r="J63" s="26"/>
      <c r="K63" s="18"/>
      <c r="L63" s="18"/>
      <c r="M63" s="11" t="str">
        <f aca="false">IF(INDEX(評価項目対応!$J$6:$J$236,$U63)="","",INDEX(評価項目対応!$J$6:$J$236,$U63))</f>
        <v/>
      </c>
      <c r="N63" s="11" t="str">
        <f aca="false">IF(INDEX(評価項目対応!$N$6:$N$236,$U63)="","",INDEX(評価項目対応!$N$6:$N$236,$U63))</f>
        <v/>
      </c>
      <c r="O63" s="11" t="str">
        <f aca="false">IF(INDEX(評価項目対応!$O$6:$O$236,$U63)="","",INDEX(評価項目対応!$O$6:$O$236,$U63))</f>
        <v/>
      </c>
      <c r="P63" s="27" t="n">
        <f aca="false">COUNTIF(F63:G63,"")+COUNTIF(I63:O63,"")-IF(AND(G63="対象外",K63=""),1,0)</f>
        <v>8</v>
      </c>
      <c r="Q63" s="11" t="str">
        <f aca="false">IF(F63="","会社名コード未設定（D4）",IF(OR(G63="",G63="n/a"),"適用性を確定（評価項目対応I列）",IF(AND(G63="対象外",OR(I63&lt;&gt;"対象外",J63&lt;&gt;"n/a")),"対象外ならR=対象外・S=n/a",IF(AND(G63="対象",OR(I63="対象外",J63="n/a")),"対象なのにR／Sが対象外・n/a",IF(AND(G63="対象",OR(I63="",J63="")),"R・Sを入力",IF(AND(ISNUMBER(J63),ISNUMBER(V63),ABS(N(J63)-N(V63))&gt;=1),"RとSの乖離（案分ならUに明記）",IF(AND(G63="対象",L63=""),"Uに制約・代替策・未検証を記載",IF(AND(G63="対象外",L63=""),"対象外の理由・承認者をUに記載",IF(OR(M63="",N63="",O63=""),"V～Xを入力",IF(P63&gt;0,"未記入あり（P列）","OK"))))))))))</f>
        <v>会社名コード未設定（D4）</v>
      </c>
      <c r="R63" s="11" t="str">
        <f aca="false">IF(INDEX(評価項目対応!$M$6:$M$236,$U63)="","",INDEX(評価項目対応!$M$6:$M$236,$U63))</f>
        <v>5.03</v>
      </c>
      <c r="S63" s="11" t="str">
        <f aca="false">INDEX(評価項目対応!$H$6:$H$236,$U63)</f>
        <v>認証情報保護、保存制限、認証失敗監視を原要求と比較する。非対応機能は代替策と差分を記録する。 端末側のログ・上報（Chromeイベント、システムログ、端末上の失敗ログイン）の確認（5.03）も根拠にする。</v>
      </c>
      <c r="T63" s="11" t="str">
        <f aca="false">TRIM(IF(INDEX(評価項目対応!$K$6:$K$236,$U63)="","","試験ID: "&amp;INDEX(評価項目対応!$K$6:$K$236,$U63)&amp;"　")&amp;IF(INDEX(評価項目対応!$L$6:$L$236,$U63)="","","判断理由: "&amp;INDEX(評価項目対応!$L$6:$L$236,$U63)))</f>
        <v/>
      </c>
      <c r="U63" s="28" t="n">
        <f aca="false">MATCH($A63,評価項目対応!$A$6:$A$236,0)</f>
        <v>57</v>
      </c>
      <c r="V63" s="28" t="str">
        <f aca="false">IFERROR(VLOOKUP(I63,$X$6:$Y$11,2,FALSE()),"")</f>
        <v/>
      </c>
    </row>
    <row r="64" customFormat="false" ht="49.5" hidden="false" customHeight="true" outlineLevel="0" collapsed="false">
      <c r="A64" s="13" t="n">
        <v>60</v>
      </c>
      <c r="B64" s="13" t="n">
        <f aca="false">INDEX(評価項目対応!$B$6:$B$236,$U64)</f>
        <v>50</v>
      </c>
      <c r="C64" s="13" t="str">
        <f aca="false">INDEX(評価項目対応!$F$6:$F$236,$U64)</f>
        <v>3.07</v>
      </c>
      <c r="D64" s="11" t="str">
        <f aca="false">INDEX(評価項目対応!$D$6:$D$236,$U64)</f>
        <v>ネットワーク管理</v>
      </c>
      <c r="E64" s="11" t="str">
        <f aca="false">INDEX(評価項目対応!$E$6:$E$236,$U64)</f>
        <v>ネットワークインフラデバイスを最新のソフトウェアパッチとセキュリテ
ィ設定で更新する。</v>
      </c>
      <c r="F64" s="13" t="str">
        <f aca="false">IF($D$4="","",$D$4)</f>
        <v/>
      </c>
      <c r="G64" s="13" t="str">
        <f aca="false">IFERROR(IF(INDEX(評価項目対応!$I$6:$I$236,$U64)="対象","対象",IF(INDEX(評価項目対応!$I$6:$I$236,$U64)="対象外（承認済）","対象外",IF(INDEX(評価項目対応!$I$6:$I$236,$U64)="未確定","n/a",""))),"")</f>
        <v>n/a</v>
      </c>
      <c r="H64" s="25" t="str">
        <f aca="false">IF(ISBLANK(J64),"",IF(J64=5,"Yes",IF(J64=4,"Yes","No")))</f>
        <v/>
      </c>
      <c r="I64" s="18"/>
      <c r="J64" s="26"/>
      <c r="K64" s="18"/>
      <c r="L64" s="18"/>
      <c r="M64" s="11" t="str">
        <f aca="false">IF(INDEX(評価項目対応!$J$6:$J$236,$U64)="","",INDEX(評価項目対応!$J$6:$J$236,$U64))</f>
        <v/>
      </c>
      <c r="N64" s="11" t="str">
        <f aca="false">IF(INDEX(評価項目対応!$N$6:$N$236,$U64)="","",INDEX(評価項目対応!$N$6:$N$236,$U64))</f>
        <v/>
      </c>
      <c r="O64" s="11" t="str">
        <f aca="false">IF(INDEX(評価項目対応!$O$6:$O$236,$U64)="","",INDEX(評価項目対応!$O$6:$O$236,$U64))</f>
        <v/>
      </c>
      <c r="P64" s="27" t="n">
        <f aca="false">COUNTIF(F64:G64,"")+COUNTIF(I64:O64,"")-IF(AND(G64="対象外",K64=""),1,0)</f>
        <v>8</v>
      </c>
      <c r="Q64" s="11" t="str">
        <f aca="false">IF(F64="","会社名コード未設定（D4）",IF(OR(G64="",G64="n/a"),"適用性を確定（評価項目対応I列）",IF(AND(G64="対象外",OR(I64&lt;&gt;"対象外",J64&lt;&gt;"n/a")),"対象外ならR=対象外・S=n/a",IF(AND(G64="対象",OR(I64="対象外",J64="n/a")),"対象なのにR／Sが対象外・n/a",IF(AND(G64="対象",OR(I64="",J64="")),"R・Sを入力",IF(AND(ISNUMBER(J64),ISNUMBER(V64),ABS(N(J64)-N(V64))&gt;=1),"RとSの乖離（案分ならUに明記）",IF(AND(G64="対象",L64=""),"Uに制約・代替策・未検証を記載",IF(AND(G64="対象外",L64=""),"対象外の理由・承認者をUに記載",IF(OR(M64="",N64="",O64=""),"V～Xを入力",IF(P64&gt;0,"未記入あり（P列）","OK"))))))))))</f>
        <v>会社名コード未設定（D4）</v>
      </c>
      <c r="R64" s="11" t="str">
        <f aca="false">IF(INDEX(評価項目対応!$M$6:$M$236,$U64)="","",INDEX(評価項目対応!$M$6:$M$236,$U64))</f>
        <v/>
      </c>
      <c r="S64" s="11" t="str">
        <f aca="false">INDEX(評価項目対応!$H$6:$H$236,$U64)</f>
        <v>ChromeOSと接続先・ネットワーク製品を分けて脆弱性・更新運用を確認する。</v>
      </c>
      <c r="T64" s="11" t="str">
        <f aca="false">TRIM(IF(INDEX(評価項目対応!$K$6:$K$236,$U64)="","","試験ID: "&amp;INDEX(評価項目対応!$K$6:$K$236,$U64)&amp;"　")&amp;IF(INDEX(評価項目対応!$L$6:$L$236,$U64)="","","判断理由: "&amp;INDEX(評価項目対応!$L$6:$L$236,$U64)))</f>
        <v/>
      </c>
      <c r="U64" s="28" t="n">
        <f aca="false">MATCH($A64,評価項目対応!$A$6:$A$236,0)</f>
        <v>58</v>
      </c>
      <c r="V64" s="28" t="str">
        <f aca="false">IFERROR(VLOOKUP(I64,$X$6:$Y$11,2,FALSE()),"")</f>
        <v/>
      </c>
    </row>
    <row r="65" customFormat="false" ht="49.5" hidden="false" customHeight="true" outlineLevel="0" collapsed="false">
      <c r="A65" s="13" t="n">
        <v>61</v>
      </c>
      <c r="B65" s="13" t="n">
        <f aca="false">INDEX(評価項目対応!$B$6:$B$236,$U65)</f>
        <v>51</v>
      </c>
      <c r="C65" s="13" t="str">
        <f aca="false">INDEX(評価項目対応!$F$6:$F$236,$U65)</f>
        <v>3.07</v>
      </c>
      <c r="D65" s="11" t="str">
        <f aca="false">INDEX(評価項目対応!$D$6:$D$236,$U65)</f>
        <v>リモート環境管理</v>
      </c>
      <c r="E65" s="11" t="str">
        <f aca="false">INDEX(評価項目対応!$E$6:$E$236,$U65)</f>
        <v>リモートワーク環境へのアクセスに使用されるデバイスを最新のソフトウ
ェアパッチとセキュリティ設定で更新する。</v>
      </c>
      <c r="F65" s="13" t="str">
        <f aca="false">IF($D$4="","",$D$4)</f>
        <v/>
      </c>
      <c r="G65" s="13" t="str">
        <f aca="false">IFERROR(IF(INDEX(評価項目対応!$I$6:$I$236,$U65)="対象","対象",IF(INDEX(評価項目対応!$I$6:$I$236,$U65)="対象外（承認済）","対象外",IF(INDEX(評価項目対応!$I$6:$I$236,$U65)="未確定","n/a",""))),"")</f>
        <v>n/a</v>
      </c>
      <c r="H65" s="25" t="str">
        <f aca="false">IF(ISBLANK(J65),"",IF(J65=5,"Yes",IF(J65=4,"Yes","No")))</f>
        <v/>
      </c>
      <c r="I65" s="18"/>
      <c r="J65" s="26"/>
      <c r="K65" s="18"/>
      <c r="L65" s="18"/>
      <c r="M65" s="11" t="str">
        <f aca="false">IF(INDEX(評価項目対応!$J$6:$J$236,$U65)="","",INDEX(評価項目対応!$J$6:$J$236,$U65))</f>
        <v/>
      </c>
      <c r="N65" s="11" t="str">
        <f aca="false">IF(INDEX(評価項目対応!$N$6:$N$236,$U65)="","",INDEX(評価項目対応!$N$6:$N$236,$U65))</f>
        <v/>
      </c>
      <c r="O65" s="11" t="str">
        <f aca="false">IF(INDEX(評価項目対応!$O$6:$O$236,$U65)="","",INDEX(評価項目対応!$O$6:$O$236,$U65))</f>
        <v/>
      </c>
      <c r="P65" s="27" t="n">
        <f aca="false">COUNTIF(F65:G65,"")+COUNTIF(I65:O65,"")-IF(AND(G65="対象外",K65=""),1,0)</f>
        <v>8</v>
      </c>
      <c r="Q65" s="11" t="str">
        <f aca="false">IF(F65="","会社名コード未設定（D4）",IF(OR(G65="",G65="n/a"),"適用性を確定（評価項目対応I列）",IF(AND(G65="対象外",OR(I65&lt;&gt;"対象外",J65&lt;&gt;"n/a")),"対象外ならR=対象外・S=n/a",IF(AND(G65="対象",OR(I65="対象外",J65="n/a")),"対象なのにR／Sが対象外・n/a",IF(AND(G65="対象",OR(I65="",J65="")),"R・Sを入力",IF(AND(ISNUMBER(J65),ISNUMBER(V65),ABS(N(J65)-N(V65))&gt;=1),"RとSの乖離（案分ならUに明記）",IF(AND(G65="対象",L65=""),"Uに制約・代替策・未検証を記載",IF(AND(G65="対象外",L65=""),"対象外の理由・承認者をUに記載",IF(OR(M65="",N65="",O65=""),"V～Xを入力",IF(P65&gt;0,"未記入あり（P列）","OK"))))))))))</f>
        <v>会社名コード未設定（D4）</v>
      </c>
      <c r="R65" s="11" t="str">
        <f aca="false">IF(INDEX(評価項目対応!$M$6:$M$236,$U65)="","",INDEX(評価項目対応!$M$6:$M$236,$U65))</f>
        <v/>
      </c>
      <c r="S65" s="11" t="str">
        <f aca="false">INDEX(評価項目対応!$H$6:$H$236,$U65)</f>
        <v>ChromeOSと接続先・ネットワーク製品を分けて脆弱性・更新運用を確認する。</v>
      </c>
      <c r="T65" s="11" t="str">
        <f aca="false">TRIM(IF(INDEX(評価項目対応!$K$6:$K$236,$U65)="","","試験ID: "&amp;INDEX(評価項目対応!$K$6:$K$236,$U65)&amp;"　")&amp;IF(INDEX(評価項目対応!$L$6:$L$236,$U65)="","","判断理由: "&amp;INDEX(評価項目対応!$L$6:$L$236,$U65)))</f>
        <v/>
      </c>
      <c r="U65" s="28" t="n">
        <f aca="false">MATCH($A65,評価項目対応!$A$6:$A$236,0)</f>
        <v>59</v>
      </c>
      <c r="V65" s="28" t="str">
        <f aca="false">IFERROR(VLOOKUP(I65,$X$6:$Y$11,2,FALSE()),"")</f>
        <v/>
      </c>
    </row>
    <row r="66" customFormat="false" ht="105.75" hidden="false" customHeight="true" outlineLevel="0" collapsed="false">
      <c r="A66" s="13" t="n">
        <v>62</v>
      </c>
      <c r="B66" s="13" t="n">
        <f aca="false">INDEX(評価項目対応!$B$6:$B$236,$U66)</f>
        <v>163</v>
      </c>
      <c r="C66" s="13" t="str">
        <f aca="false">INDEX(評価項目対応!$F$6:$F$236,$U66)</f>
        <v>4.04b</v>
      </c>
      <c r="D66" s="11" t="str">
        <f aca="false">INDEX(評価項目対応!$D$6:$D$236,$U66)</f>
        <v>認証管理</v>
      </c>
      <c r="E66" s="11" t="str">
        <f aca="false">INDEX(評価項目対応!$E$6:$E$236,$U66)</f>
        <v>可能であれば、NTLM と WDigest 認証を無効にするか制限することを検討
する。
（レガシーシステムのアップグレードやネットワークのセグメンテーショ
ンの優先順位付けの基準としてそれらの使用を含める）</v>
      </c>
      <c r="F66" s="13" t="str">
        <f aca="false">IF($D$4="","",$D$4)</f>
        <v/>
      </c>
      <c r="G66" s="13" t="str">
        <f aca="false">IFERROR(IF(INDEX(評価項目対応!$I$6:$I$236,$U66)="対象","対象",IF(INDEX(評価項目対応!$I$6:$I$236,$U66)="対象外（承認済）","対象外",IF(INDEX(評価項目対応!$I$6:$I$236,$U66)="未確定","n/a",""))),"")</f>
        <v>n/a</v>
      </c>
      <c r="H66" s="25" t="str">
        <f aca="false">IF(ISBLANK(J66),"",IF(J66=5,"Yes",IF(J66=4,"Yes","No")))</f>
        <v/>
      </c>
      <c r="I66" s="18"/>
      <c r="J66" s="26"/>
      <c r="K66" s="18"/>
      <c r="L66" s="18"/>
      <c r="M66" s="11" t="str">
        <f aca="false">IF(INDEX(評価項目対応!$J$6:$J$236,$U66)="","",INDEX(評価項目対応!$J$6:$J$236,$U66))</f>
        <v/>
      </c>
      <c r="N66" s="11" t="str">
        <f aca="false">IF(INDEX(評価項目対応!$N$6:$N$236,$U66)="","",INDEX(評価項目対応!$N$6:$N$236,$U66))</f>
        <v/>
      </c>
      <c r="O66" s="11" t="str">
        <f aca="false">IF(INDEX(評価項目対応!$O$6:$O$236,$U66)="","",INDEX(評価項目対応!$O$6:$O$236,$U66))</f>
        <v/>
      </c>
      <c r="P66" s="27" t="n">
        <f aca="false">COUNTIF(F66:G66,"")+COUNTIF(I66:O66,"")-IF(AND(G66="対象外",K66=""),1,0)</f>
        <v>8</v>
      </c>
      <c r="Q66" s="11" t="str">
        <f aca="false">IF(F66="","会社名コード未設定（D4）",IF(OR(G66="",G66="n/a"),"適用性を確定（評価項目対応I列）",IF(AND(G66="対象外",OR(I66&lt;&gt;"対象外",J66&lt;&gt;"n/a")),"対象外ならR=対象外・S=n/a",IF(AND(G66="対象",OR(I66="対象外",J66="n/a")),"対象なのにR／Sが対象外・n/a",IF(AND(G66="対象",OR(I66="",J66="")),"R・Sを入力",IF(AND(ISNUMBER(J66),ISNUMBER(V66),ABS(N(J66)-N(V66))&gt;=1),"RとSの乖離（案分ならUに明記）",IF(AND(G66="対象",L66=""),"Uに制約・代替策・未検証を記載",IF(AND(G66="対象外",L66=""),"対象外の理由・承認者をUに記載",IF(OR(M66="",N66="",O66=""),"V～Xを入力",IF(P66&gt;0,"未記入あり（P列）","OK"))))))))))</f>
        <v>会社名コード未設定（D4）</v>
      </c>
      <c r="R66" s="11" t="str">
        <f aca="false">IF(INDEX(評価項目対応!$M$6:$M$236,$U66)="","",INDEX(評価項目対応!$M$6:$M$236,$U66))</f>
        <v>4.09</v>
      </c>
      <c r="S66" s="11" t="str">
        <f aca="false">INDEX(評価項目対応!$H$6:$H$236,$U66)</f>
        <v>接続先のSMB・NTLM・暗号化設定は既存証跡を受領する。ChromeOS側のSMBクライアント制御（共有マウント可否・NTLM・NetBIOS探索）は4.09で確認する。 本項目はChromebook側のSMB／NTLM／NetBIOS試験（4.09）も根拠にする。</v>
      </c>
      <c r="T66" s="11" t="str">
        <f aca="false">TRIM(IF(INDEX(評価項目対応!$K$6:$K$236,$U66)="","","試験ID: "&amp;INDEX(評価項目対応!$K$6:$K$236,$U66)&amp;"　")&amp;IF(INDEX(評価項目対応!$L$6:$L$236,$U66)="","","判断理由: "&amp;INDEX(評価項目対応!$L$6:$L$236,$U66)))</f>
        <v/>
      </c>
      <c r="U66" s="28" t="n">
        <f aca="false">MATCH($A66,評価項目対応!$A$6:$A$236,0)</f>
        <v>60</v>
      </c>
      <c r="V66" s="28" t="str">
        <f aca="false">IFERROR(VLOOKUP(I66,$X$6:$Y$11,2,FALSE()),"")</f>
        <v/>
      </c>
    </row>
    <row r="67" customFormat="false" ht="49.5" hidden="false" customHeight="true" outlineLevel="0" collapsed="false">
      <c r="A67" s="13" t="n">
        <v>63</v>
      </c>
      <c r="B67" s="13" t="n">
        <f aca="false">INDEX(評価項目対応!$B$6:$B$236,$U67)</f>
        <v>165</v>
      </c>
      <c r="C67" s="13" t="str">
        <f aca="false">INDEX(評価項目対応!$F$6:$F$236,$U67)</f>
        <v>4.04b</v>
      </c>
      <c r="D67" s="11" t="str">
        <f aca="false">INDEX(評価項目対応!$D$6:$D$236,$U67)</f>
        <v>認証管理</v>
      </c>
      <c r="E67" s="11" t="str">
        <f aca="false">INDEX(評価項目対応!$E$6:$E$236,$U67)</f>
        <v>NTLM を有効にする必要がある場合は、一部の NTLM リレー攻撃を防ぐた
めに認証の拡張保護（EPA）を有効にする。</v>
      </c>
      <c r="F67" s="13" t="str">
        <f aca="false">IF($D$4="","",$D$4)</f>
        <v/>
      </c>
      <c r="G67" s="13" t="str">
        <f aca="false">IFERROR(IF(INDEX(評価項目対応!$I$6:$I$236,$U67)="対象","対象",IF(INDEX(評価項目対応!$I$6:$I$236,$U67)="対象外（承認済）","対象外",IF(INDEX(評価項目対応!$I$6:$I$236,$U67)="未確定","n/a",""))),"")</f>
        <v>n/a</v>
      </c>
      <c r="H67" s="25" t="str">
        <f aca="false">IF(ISBLANK(J67),"",IF(J67=5,"Yes",IF(J67=4,"Yes","No")))</f>
        <v/>
      </c>
      <c r="I67" s="18"/>
      <c r="J67" s="26"/>
      <c r="K67" s="18"/>
      <c r="L67" s="18"/>
      <c r="M67" s="11" t="str">
        <f aca="false">IF(INDEX(評価項目対応!$J$6:$J$236,$U67)="","",INDEX(評価項目対応!$J$6:$J$236,$U67))</f>
        <v/>
      </c>
      <c r="N67" s="11" t="str">
        <f aca="false">IF(INDEX(評価項目対応!$N$6:$N$236,$U67)="","",INDEX(評価項目対応!$N$6:$N$236,$U67))</f>
        <v/>
      </c>
      <c r="O67" s="11" t="str">
        <f aca="false">IF(INDEX(評価項目対応!$O$6:$O$236,$U67)="","",INDEX(評価項目対応!$O$6:$O$236,$U67))</f>
        <v/>
      </c>
      <c r="P67" s="27" t="n">
        <f aca="false">COUNTIF(F67:G67,"")+COUNTIF(I67:O67,"")-IF(AND(G67="対象外",K67=""),1,0)</f>
        <v>8</v>
      </c>
      <c r="Q67" s="11" t="str">
        <f aca="false">IF(F67="","会社名コード未設定（D4）",IF(OR(G67="",G67="n/a"),"適用性を確定（評価項目対応I列）",IF(AND(G67="対象外",OR(I67&lt;&gt;"対象外",J67&lt;&gt;"n/a")),"対象外ならR=対象外・S=n/a",IF(AND(G67="対象",OR(I67="対象外",J67="n/a")),"対象なのにR／Sが対象外・n/a",IF(AND(G67="対象",OR(I67="",J67="")),"R・Sを入力",IF(AND(ISNUMBER(J67),ISNUMBER(V67),ABS(N(J67)-N(V67))&gt;=1),"RとSの乖離（案分ならUに明記）",IF(AND(G67="対象",L67=""),"Uに制約・代替策・未検証を記載",IF(AND(G67="対象外",L67=""),"対象外の理由・承認者をUに記載",IF(OR(M67="",N67="",O67=""),"V～Xを入力",IF(P67&gt;0,"未記入あり（P列）","OK"))))))))))</f>
        <v>会社名コード未設定（D4）</v>
      </c>
      <c r="R67" s="11" t="str">
        <f aca="false">IF(INDEX(評価項目対応!$M$6:$M$236,$U67)="","",INDEX(評価項目対応!$M$6:$M$236,$U67))</f>
        <v/>
      </c>
      <c r="S67" s="11" t="str">
        <f aca="false">INDEX(評価項目対応!$H$6:$H$236,$U67)</f>
        <v>接続先のSMB・NTLM・暗号化設定は既存証跡を受領する。ChromeOS側のSMBクライアント制御（共有マウント可否・NTLM・NetBIOS探索）は4.09で確認する。</v>
      </c>
      <c r="T67" s="11" t="str">
        <f aca="false">TRIM(IF(INDEX(評価項目対応!$K$6:$K$236,$U67)="","","試験ID: "&amp;INDEX(評価項目対応!$K$6:$K$236,$U67)&amp;"　")&amp;IF(INDEX(評価項目対応!$L$6:$L$236,$U67)="","","判断理由: "&amp;INDEX(評価項目対応!$L$6:$L$236,$U67)))</f>
        <v/>
      </c>
      <c r="U67" s="28" t="n">
        <f aca="false">MATCH($A67,評価項目対応!$A$6:$A$236,0)</f>
        <v>61</v>
      </c>
      <c r="V67" s="28" t="str">
        <f aca="false">IFERROR(VLOOKUP(I67,$X$6:$Y$11,2,FALSE()),"")</f>
        <v/>
      </c>
    </row>
    <row r="68" customFormat="false" ht="49.5" hidden="false" customHeight="true" outlineLevel="0" collapsed="false">
      <c r="A68" s="13" t="n">
        <v>64</v>
      </c>
      <c r="B68" s="13" t="n">
        <f aca="false">INDEX(評価項目対応!$B$6:$B$236,$U68)</f>
        <v>166</v>
      </c>
      <c r="C68" s="13" t="str">
        <f aca="false">INDEX(評価項目対応!$F$6:$F$236,$U68)</f>
        <v>4.04b</v>
      </c>
      <c r="D68" s="11" t="str">
        <f aca="false">INDEX(評価項目対応!$D$6:$D$236,$U68)</f>
        <v>認証管理</v>
      </c>
      <c r="E68" s="11" t="str">
        <f aca="false">INDEX(評価項目対応!$E$6:$E$236,$U68)</f>
        <v>ネットワーク全体で NTLMv2 応答のみが送信されるようにするために、NT
LM 監査を有効にする。</v>
      </c>
      <c r="F68" s="13" t="str">
        <f aca="false">IF($D$4="","",$D$4)</f>
        <v/>
      </c>
      <c r="G68" s="13" t="str">
        <f aca="false">IFERROR(IF(INDEX(評価項目対応!$I$6:$I$236,$U68)="対象","対象",IF(INDEX(評価項目対応!$I$6:$I$236,$U68)="対象外（承認済）","対象外",IF(INDEX(評価項目対応!$I$6:$I$236,$U68)="未確定","n/a",""))),"")</f>
        <v>n/a</v>
      </c>
      <c r="H68" s="25" t="str">
        <f aca="false">IF(ISBLANK(J68),"",IF(J68=5,"Yes",IF(J68=4,"Yes","No")))</f>
        <v/>
      </c>
      <c r="I68" s="18"/>
      <c r="J68" s="26"/>
      <c r="K68" s="18"/>
      <c r="L68" s="18"/>
      <c r="M68" s="11" t="str">
        <f aca="false">IF(INDEX(評価項目対応!$J$6:$J$236,$U68)="","",INDEX(評価項目対応!$J$6:$J$236,$U68))</f>
        <v/>
      </c>
      <c r="N68" s="11" t="str">
        <f aca="false">IF(INDEX(評価項目対応!$N$6:$N$236,$U68)="","",INDEX(評価項目対応!$N$6:$N$236,$U68))</f>
        <v/>
      </c>
      <c r="O68" s="11" t="str">
        <f aca="false">IF(INDEX(評価項目対応!$O$6:$O$236,$U68)="","",INDEX(評価項目対応!$O$6:$O$236,$U68))</f>
        <v/>
      </c>
      <c r="P68" s="27" t="n">
        <f aca="false">COUNTIF(F68:G68,"")+COUNTIF(I68:O68,"")-IF(AND(G68="対象外",K68=""),1,0)</f>
        <v>8</v>
      </c>
      <c r="Q68" s="11" t="str">
        <f aca="false">IF(F68="","会社名コード未設定（D4）",IF(OR(G68="",G68="n/a"),"適用性を確定（評価項目対応I列）",IF(AND(G68="対象外",OR(I68&lt;&gt;"対象外",J68&lt;&gt;"n/a")),"対象外ならR=対象外・S=n/a",IF(AND(G68="対象",OR(I68="対象外",J68="n/a")),"対象なのにR／Sが対象外・n/a",IF(AND(G68="対象",OR(I68="",J68="")),"R・Sを入力",IF(AND(ISNUMBER(J68),ISNUMBER(V68),ABS(N(J68)-N(V68))&gt;=1),"RとSの乖離（案分ならUに明記）",IF(AND(G68="対象",L68=""),"Uに制約・代替策・未検証を記載",IF(AND(G68="対象外",L68=""),"対象外の理由・承認者をUに記載",IF(OR(M68="",N68="",O68=""),"V～Xを入力",IF(P68&gt;0,"未記入あり（P列）","OK"))))))))))</f>
        <v>会社名コード未設定（D4）</v>
      </c>
      <c r="R68" s="11" t="str">
        <f aca="false">IF(INDEX(評価項目対応!$M$6:$M$236,$U68)="","",INDEX(評価項目対応!$M$6:$M$236,$U68))</f>
        <v/>
      </c>
      <c r="S68" s="11" t="str">
        <f aca="false">INDEX(評価項目対応!$H$6:$H$236,$U68)</f>
        <v>接続先のSMB・NTLM・暗号化設定は既存証跡を受領する。ChromeOS側のSMBクライアント制御（共有マウント可否・NTLM・NetBIOS探索）は4.09で確認する。</v>
      </c>
      <c r="T68" s="11" t="str">
        <f aca="false">TRIM(IF(INDEX(評価項目対応!$K$6:$K$236,$U68)="","","試験ID: "&amp;INDEX(評価項目対応!$K$6:$K$236,$U68)&amp;"　")&amp;IF(INDEX(評価項目対応!$L$6:$L$236,$U68)="","","判断理由: "&amp;INDEX(評価項目対応!$L$6:$L$236,$U68)))</f>
        <v/>
      </c>
      <c r="U68" s="28" t="n">
        <f aca="false">MATCH($A68,評価項目対応!$A$6:$A$236,0)</f>
        <v>62</v>
      </c>
      <c r="V68" s="28" t="str">
        <f aca="false">IFERROR(VLOOKUP(I68,$X$6:$Y$11,2,FALSE()),"")</f>
        <v/>
      </c>
    </row>
    <row r="69" customFormat="false" ht="78" hidden="false" customHeight="true" outlineLevel="0" collapsed="false">
      <c r="A69" s="13" t="n">
        <v>65</v>
      </c>
      <c r="B69" s="13" t="n">
        <f aca="false">INDEX(評価項目対応!$B$6:$B$236,$U69)</f>
        <v>167</v>
      </c>
      <c r="C69" s="13" t="str">
        <f aca="false">INDEX(評価項目対応!$F$6:$F$236,$U69)</f>
        <v>4.04b</v>
      </c>
      <c r="D69" s="11" t="str">
        <f aca="false">INDEX(評価項目対応!$D$6:$D$236,$U69)</f>
        <v>認証管理</v>
      </c>
      <c r="E69" s="11" t="str">
        <f aca="false">INDEX(評価項目対応!$E$6:$E$236,$U69)</f>
        <v>可能であれば、LM および NTLM 応答が拒否されるように対策を講じる。</v>
      </c>
      <c r="F69" s="13" t="str">
        <f aca="false">IF($D$4="","",$D$4)</f>
        <v/>
      </c>
      <c r="G69" s="13" t="str">
        <f aca="false">IFERROR(IF(INDEX(評価項目対応!$I$6:$I$236,$U69)="対象","対象",IF(INDEX(評価項目対応!$I$6:$I$236,$U69)="対象外（承認済）","対象外",IF(INDEX(評価項目対応!$I$6:$I$236,$U69)="未確定","n/a",""))),"")</f>
        <v>n/a</v>
      </c>
      <c r="H69" s="25" t="str">
        <f aca="false">IF(ISBLANK(J69),"",IF(J69=5,"Yes",IF(J69=4,"Yes","No")))</f>
        <v/>
      </c>
      <c r="I69" s="18"/>
      <c r="J69" s="26"/>
      <c r="K69" s="18"/>
      <c r="L69" s="18"/>
      <c r="M69" s="11" t="str">
        <f aca="false">IF(INDEX(評価項目対応!$J$6:$J$236,$U69)="","",INDEX(評価項目対応!$J$6:$J$236,$U69))</f>
        <v/>
      </c>
      <c r="N69" s="11" t="str">
        <f aca="false">IF(INDEX(評価項目対応!$N$6:$N$236,$U69)="","",INDEX(評価項目対応!$N$6:$N$236,$U69))</f>
        <v/>
      </c>
      <c r="O69" s="11" t="str">
        <f aca="false">IF(INDEX(評価項目対応!$O$6:$O$236,$U69)="","",INDEX(評価項目対応!$O$6:$O$236,$U69))</f>
        <v/>
      </c>
      <c r="P69" s="27" t="n">
        <f aca="false">COUNTIF(F69:G69,"")+COUNTIF(I69:O69,"")-IF(AND(G69="対象外",K69=""),1,0)</f>
        <v>8</v>
      </c>
      <c r="Q69" s="11" t="str">
        <f aca="false">IF(F69="","会社名コード未設定（D4）",IF(OR(G69="",G69="n/a"),"適用性を確定（評価項目対応I列）",IF(AND(G69="対象外",OR(I69&lt;&gt;"対象外",J69&lt;&gt;"n/a")),"対象外ならR=対象外・S=n/a",IF(AND(G69="対象",OR(I69="対象外",J69="n/a")),"対象なのにR／Sが対象外・n/a",IF(AND(G69="対象",OR(I69="",J69="")),"R・Sを入力",IF(AND(ISNUMBER(J69),ISNUMBER(V69),ABS(N(J69)-N(V69))&gt;=1),"RとSの乖離（案分ならUに明記）",IF(AND(G69="対象",L69=""),"Uに制約・代替策・未検証を記載",IF(AND(G69="対象外",L69=""),"対象外の理由・承認者をUに記載",IF(OR(M69="",N69="",O69=""),"V～Xを入力",IF(P69&gt;0,"未記入あり（P列）","OK"))))))))))</f>
        <v>会社名コード未設定（D4）</v>
      </c>
      <c r="R69" s="11" t="str">
        <f aca="false">IF(INDEX(評価項目対応!$M$6:$M$236,$U69)="","",INDEX(評価項目対応!$M$6:$M$236,$U69))</f>
        <v>4.09</v>
      </c>
      <c r="S69" s="11" t="str">
        <f aca="false">INDEX(評価項目対応!$H$6:$H$236,$U69)</f>
        <v>接続先のSMB・NTLM・暗号化設定は既存証跡を受領する。ChromeOS側のSMBクライアント制御（共有マウント可否・NTLM・NetBIOS探索）は4.09で確認する。 本項目はChromebook側のSMB／NTLM／NetBIOS試験（4.09）も根拠にする。</v>
      </c>
      <c r="T69" s="11" t="str">
        <f aca="false">TRIM(IF(INDEX(評価項目対応!$K$6:$K$236,$U69)="","","試験ID: "&amp;INDEX(評価項目対応!$K$6:$K$236,$U69)&amp;"　")&amp;IF(INDEX(評価項目対応!$L$6:$L$236,$U69)="","","判断理由: "&amp;INDEX(評価項目対応!$L$6:$L$236,$U69)))</f>
        <v/>
      </c>
      <c r="U69" s="28" t="n">
        <f aca="false">MATCH($A69,評価項目対応!$A$6:$A$236,0)</f>
        <v>63</v>
      </c>
      <c r="V69" s="28" t="str">
        <f aca="false">IFERROR(VLOOKUP(I69,$X$6:$Y$11,2,FALSE()),"")</f>
        <v/>
      </c>
    </row>
    <row r="70" customFormat="false" ht="63.75" hidden="false" customHeight="true" outlineLevel="0" collapsed="false">
      <c r="A70" s="13" t="n">
        <v>66</v>
      </c>
      <c r="B70" s="13" t="n">
        <f aca="false">INDEX(評価項目対応!$B$6:$B$236,$U70)</f>
        <v>72</v>
      </c>
      <c r="C70" s="13" t="str">
        <f aca="false">INDEX(評価項目対応!$F$6:$F$236,$U70)</f>
        <v>2.03</v>
      </c>
      <c r="D70" s="11" t="str">
        <f aca="false">INDEX(評価項目対応!$D$6:$D$236,$U70)</f>
        <v>MFAの適用</v>
      </c>
      <c r="E70" s="11" t="str">
        <f aca="false">INDEX(評価項目対応!$E$6:$E$236,$U70)</f>
        <v>すべてのサービスにフィッシング耐性のある多要素認証を実装する。</v>
      </c>
      <c r="F70" s="13" t="str">
        <f aca="false">IF($D$4="","",$D$4)</f>
        <v/>
      </c>
      <c r="G70" s="13" t="str">
        <f aca="false">IFERROR(IF(INDEX(評価項目対応!$I$6:$I$236,$U70)="対象","対象",IF(INDEX(評価項目対応!$I$6:$I$236,$U70)="対象外（承認済）","対象外",IF(INDEX(評価項目対応!$I$6:$I$236,$U70)="未確定","n/a",""))),"")</f>
        <v>n/a</v>
      </c>
      <c r="H70" s="25" t="str">
        <f aca="false">IF(ISBLANK(J70),"",IF(J70=5,"Yes",IF(J70=4,"Yes","No")))</f>
        <v/>
      </c>
      <c r="I70" s="18"/>
      <c r="J70" s="26"/>
      <c r="K70" s="18"/>
      <c r="L70" s="18"/>
      <c r="M70" s="11" t="str">
        <f aca="false">IF(INDEX(評価項目対応!$J$6:$J$236,$U70)="","",INDEX(評価項目対応!$J$6:$J$236,$U70))</f>
        <v/>
      </c>
      <c r="N70" s="11" t="str">
        <f aca="false">IF(INDEX(評価項目対応!$N$6:$N$236,$U70)="","",INDEX(評価項目対応!$N$6:$N$236,$U70))</f>
        <v/>
      </c>
      <c r="O70" s="11" t="str">
        <f aca="false">IF(INDEX(評価項目対応!$O$6:$O$236,$U70)="","",INDEX(評価項目対応!$O$6:$O$236,$U70))</f>
        <v/>
      </c>
      <c r="P70" s="27" t="n">
        <f aca="false">COUNTIF(F70:G70,"")+COUNTIF(I70:O70,"")-IF(AND(G70="対象外",K70=""),1,0)</f>
        <v>8</v>
      </c>
      <c r="Q70" s="11" t="str">
        <f aca="false">IF(F70="","会社名コード未設定（D4）",IF(OR(G70="",G70="n/a"),"適用性を確定（評価項目対応I列）",IF(AND(G70="対象外",OR(I70&lt;&gt;"対象外",J70&lt;&gt;"n/a")),"対象外ならR=対象外・S=n/a",IF(AND(G70="対象",OR(I70="対象外",J70="n/a")),"対象なのにR／Sが対象外・n/a",IF(AND(G70="対象",OR(I70="",J70="")),"R・Sを入力",IF(AND(ISNUMBER(J70),ISNUMBER(V70),ABS(N(J70)-N(V70))&gt;=1),"RとSの乖離（案分ならUに明記）",IF(AND(G70="対象",L70=""),"Uに制約・代替策・未検証を記載",IF(AND(G70="対象外",L70=""),"対象外の理由・承認者をUに記載",IF(OR(M70="",N70="",O70=""),"V～Xを入力",IF(P70&gt;0,"未記入あり（P列）","OK"))))))))))</f>
        <v>会社名コード未設定（D4）</v>
      </c>
      <c r="R70" s="11" t="str">
        <f aca="false">IF(INDEX(評価項目対応!$M$6:$M$236,$U70)="","",INDEX(評価項目対応!$M$6:$M$236,$U70))</f>
        <v>2.06</v>
      </c>
      <c r="S70" s="11" t="str">
        <f aca="false">INDEX(評価項目対応!$H$6:$H$236,$U70)</f>
        <v>第2要素の有無だけでなく採用方式のフィッシング耐性を確認する。端末のPIN解除とオンラインMFAを区別する。 管理者のセキュリティキー必須化・管理コンソール保護（2.06）も根拠にする。</v>
      </c>
      <c r="T70" s="11" t="str">
        <f aca="false">TRIM(IF(INDEX(評価項目対応!$K$6:$K$236,$U70)="","","試験ID: "&amp;INDEX(評価項目対応!$K$6:$K$236,$U70)&amp;"　")&amp;IF(INDEX(評価項目対応!$L$6:$L$236,$U70)="","","判断理由: "&amp;INDEX(評価項目対応!$L$6:$L$236,$U70)))</f>
        <v/>
      </c>
      <c r="U70" s="28" t="n">
        <f aca="false">MATCH($A70,評価項目対応!$A$6:$A$236,0)</f>
        <v>64</v>
      </c>
      <c r="V70" s="28" t="str">
        <f aca="false">IFERROR(VLOOKUP(I70,$X$6:$Y$11,2,FALSE()),"")</f>
        <v/>
      </c>
    </row>
    <row r="71" customFormat="false" ht="78" hidden="false" customHeight="true" outlineLevel="0" collapsed="false">
      <c r="A71" s="13" t="n">
        <v>67</v>
      </c>
      <c r="B71" s="13" t="n">
        <f aca="false">INDEX(評価項目対応!$B$6:$B$236,$U71)</f>
        <v>73</v>
      </c>
      <c r="C71" s="13" t="str">
        <f aca="false">INDEX(評価項目対応!$F$6:$F$236,$U71)</f>
        <v>2.03</v>
      </c>
      <c r="D71" s="11" t="str">
        <f aca="false">INDEX(評価項目対応!$D$6:$D$236,$U71)</f>
        <v>MFAの適用</v>
      </c>
      <c r="E71" s="11" t="str">
        <f aca="false">INDEX(評価項目対応!$E$6:$E$236,$U71)</f>
        <v>多要素認証を許可しないシステム、多要素認証を強制しないシステム、多
要素認証に登録されていないユーザーを発見した場合、上級管理職にエス
カレーションする。</v>
      </c>
      <c r="F71" s="13" t="str">
        <f aca="false">IF($D$4="","",$D$4)</f>
        <v/>
      </c>
      <c r="G71" s="13" t="str">
        <f aca="false">IFERROR(IF(INDEX(評価項目対応!$I$6:$I$236,$U71)="対象","対象",IF(INDEX(評価項目対応!$I$6:$I$236,$U71)="対象外（承認済）","対象外",IF(INDEX(評価項目対応!$I$6:$I$236,$U71)="未確定","n/a",""))),"")</f>
        <v>n/a</v>
      </c>
      <c r="H71" s="25" t="str">
        <f aca="false">IF(ISBLANK(J71),"",IF(J71=5,"Yes",IF(J71=4,"Yes","No")))</f>
        <v/>
      </c>
      <c r="I71" s="18"/>
      <c r="J71" s="26"/>
      <c r="K71" s="18"/>
      <c r="L71" s="18"/>
      <c r="M71" s="11" t="str">
        <f aca="false">IF(INDEX(評価項目対応!$J$6:$J$236,$U71)="","",INDEX(評価項目対応!$J$6:$J$236,$U71))</f>
        <v/>
      </c>
      <c r="N71" s="11" t="str">
        <f aca="false">IF(INDEX(評価項目対応!$N$6:$N$236,$U71)="","",INDEX(評価項目対応!$N$6:$N$236,$U71))</f>
        <v/>
      </c>
      <c r="O71" s="11" t="str">
        <f aca="false">IF(INDEX(評価項目対応!$O$6:$O$236,$U71)="","",INDEX(評価項目対応!$O$6:$O$236,$U71))</f>
        <v/>
      </c>
      <c r="P71" s="27" t="n">
        <f aca="false">COUNTIF(F71:G71,"")+COUNTIF(I71:O71,"")-IF(AND(G71="対象外",K71=""),1,0)</f>
        <v>8</v>
      </c>
      <c r="Q71" s="11" t="str">
        <f aca="false">IF(F71="","会社名コード未設定（D4）",IF(OR(G71="",G71="n/a"),"適用性を確定（評価項目対応I列）",IF(AND(G71="対象外",OR(I71&lt;&gt;"対象外",J71&lt;&gt;"n/a")),"対象外ならR=対象外・S=n/a",IF(AND(G71="対象",OR(I71="対象外",J71="n/a")),"対象なのにR／Sが対象外・n/a",IF(AND(G71="対象",OR(I71="",J71="")),"R・Sを入力",IF(AND(ISNUMBER(J71),ISNUMBER(V71),ABS(N(J71)-N(V71))&gt;=1),"RとSの乖離（案分ならUに明記）",IF(AND(G71="対象",L71=""),"Uに制約・代替策・未検証を記載",IF(AND(G71="対象外",L71=""),"対象外の理由・承認者をUに記載",IF(OR(M71="",N71="",O71=""),"V～Xを入力",IF(P71&gt;0,"未記入あり（P列）","OK"))))))))))</f>
        <v>会社名コード未設定（D4）</v>
      </c>
      <c r="R71" s="11" t="str">
        <f aca="false">IF(INDEX(評価項目対応!$M$6:$M$236,$U71)="","",INDEX(評価項目対応!$M$6:$M$236,$U71))</f>
        <v>2.06</v>
      </c>
      <c r="S71" s="11" t="str">
        <f aca="false">INDEX(評価項目対応!$H$6:$H$236,$U71)</f>
        <v>オンライン認証、抗フィッシング方式、未登録・例外の管理、復旧経路を確認する。 管理者のセキュリティキー必須化・管理コンソール保護（2.06）も根拠にする。</v>
      </c>
      <c r="T71" s="11" t="str">
        <f aca="false">TRIM(IF(INDEX(評価項目対応!$K$6:$K$236,$U71)="","","試験ID: "&amp;INDEX(評価項目対応!$K$6:$K$236,$U71)&amp;"　")&amp;IF(INDEX(評価項目対応!$L$6:$L$236,$U71)="","","判断理由: "&amp;INDEX(評価項目対応!$L$6:$L$236,$U71)))</f>
        <v/>
      </c>
      <c r="U71" s="28" t="n">
        <f aca="false">MATCH($A71,評価項目対応!$A$6:$A$236,0)</f>
        <v>65</v>
      </c>
      <c r="V71" s="28" t="str">
        <f aca="false">IFERROR(VLOOKUP(I71,$X$6:$Y$11,2,FALSE()),"")</f>
        <v/>
      </c>
    </row>
    <row r="72" customFormat="false" ht="63.75" hidden="false" customHeight="true" outlineLevel="0" collapsed="false">
      <c r="A72" s="13" t="n">
        <v>68</v>
      </c>
      <c r="B72" s="13" t="n">
        <f aca="false">INDEX(評価項目対応!$B$6:$B$236,$U72)</f>
        <v>74</v>
      </c>
      <c r="C72" s="13" t="str">
        <f aca="false">INDEX(評価項目対応!$F$6:$F$236,$U72)</f>
        <v>2.03</v>
      </c>
      <c r="D72" s="11" t="str">
        <f aca="false">INDEX(評価項目対応!$D$6:$D$236,$U72)</f>
        <v>MFAの適用</v>
      </c>
      <c r="E72" s="11" t="str">
        <f aca="false">INDEX(評価項目対応!$E$6:$E$236,$U72)</f>
        <v>パスワードを2つ以上の検証要素（指紋、顔認識、デバイスのPIN、暗号鍵
など）に置き換えるパスワードレス多要素認証の採用を検討する。</v>
      </c>
      <c r="F72" s="13" t="str">
        <f aca="false">IF($D$4="","",$D$4)</f>
        <v/>
      </c>
      <c r="G72" s="13" t="str">
        <f aca="false">IFERROR(IF(INDEX(評価項目対応!$I$6:$I$236,$U72)="対象","対象",IF(INDEX(評価項目対応!$I$6:$I$236,$U72)="対象外（承認済）","対象外",IF(INDEX(評価項目対応!$I$6:$I$236,$U72)="未確定","n/a",""))),"")</f>
        <v>n/a</v>
      </c>
      <c r="H72" s="25" t="str">
        <f aca="false">IF(ISBLANK(J72),"",IF(J72=5,"Yes",IF(J72=4,"Yes","No")))</f>
        <v/>
      </c>
      <c r="I72" s="18"/>
      <c r="J72" s="26"/>
      <c r="K72" s="18"/>
      <c r="L72" s="18"/>
      <c r="M72" s="11" t="str">
        <f aca="false">IF(INDEX(評価項目対応!$J$6:$J$236,$U72)="","",INDEX(評価項目対応!$J$6:$J$236,$U72))</f>
        <v/>
      </c>
      <c r="N72" s="11" t="str">
        <f aca="false">IF(INDEX(評価項目対応!$N$6:$N$236,$U72)="","",INDEX(評価項目対応!$N$6:$N$236,$U72))</f>
        <v/>
      </c>
      <c r="O72" s="11" t="str">
        <f aca="false">IF(INDEX(評価項目対応!$O$6:$O$236,$U72)="","",INDEX(評価項目対応!$O$6:$O$236,$U72))</f>
        <v/>
      </c>
      <c r="P72" s="27" t="n">
        <f aca="false">COUNTIF(F72:G72,"")+COUNTIF(I72:O72,"")-IF(AND(G72="対象外",K72=""),1,0)</f>
        <v>8</v>
      </c>
      <c r="Q72" s="11" t="str">
        <f aca="false">IF(F72="","会社名コード未設定（D4）",IF(OR(G72="",G72="n/a"),"適用性を確定（評価項目対応I列）",IF(AND(G72="対象外",OR(I72&lt;&gt;"対象外",J72&lt;&gt;"n/a")),"対象外ならR=対象外・S=n/a",IF(AND(G72="対象",OR(I72="対象外",J72="n/a")),"対象なのにR／Sが対象外・n/a",IF(AND(G72="対象",OR(I72="",J72="")),"R・Sを入力",IF(AND(ISNUMBER(J72),ISNUMBER(V72),ABS(N(J72)-N(V72))&gt;=1),"RとSの乖離（案分ならUに明記）",IF(AND(G72="対象",L72=""),"Uに制約・代替策・未検証を記載",IF(AND(G72="対象外",L72=""),"対象外の理由・承認者をUに記載",IF(OR(M72="",N72="",O72=""),"V～Xを入力",IF(P72&gt;0,"未記入あり（P列）","OK"))))))))))</f>
        <v>会社名コード未設定（D4）</v>
      </c>
      <c r="R72" s="11" t="str">
        <f aca="false">IF(INDEX(評価項目対応!$M$6:$M$236,$U72)="","",INDEX(評価項目対応!$M$6:$M$236,$U72))</f>
        <v>2.06</v>
      </c>
      <c r="S72" s="11" t="str">
        <f aca="false">INDEX(評価項目対応!$H$6:$H$236,$U72)</f>
        <v>オンライン認証、抗フィッシング方式、未登録・例外の管理、復旧経路を確認する。 管理者のセキュリティキー必須化・管理コンソール保護（2.06）も根拠にする。</v>
      </c>
      <c r="T72" s="11" t="str">
        <f aca="false">TRIM(IF(INDEX(評価項目対応!$K$6:$K$236,$U72)="","","試験ID: "&amp;INDEX(評価項目対応!$K$6:$K$236,$U72)&amp;"　")&amp;IF(INDEX(評価項目対応!$L$6:$L$236,$U72)="","","判断理由: "&amp;INDEX(評価項目対応!$L$6:$L$236,$U72)))</f>
        <v/>
      </c>
      <c r="U72" s="28" t="n">
        <f aca="false">MATCH($A72,評価項目対応!$A$6:$A$236,0)</f>
        <v>66</v>
      </c>
      <c r="V72" s="28" t="str">
        <f aca="false">IFERROR(VLOOKUP(I72,$X$6:$Y$11,2,FALSE()),"")</f>
        <v/>
      </c>
    </row>
    <row r="73" customFormat="false" ht="91.5" hidden="false" customHeight="true" outlineLevel="0" collapsed="false">
      <c r="A73" s="13" t="n">
        <v>69</v>
      </c>
      <c r="B73" s="13" t="n">
        <f aca="false">INDEX(評価項目対応!$B$6:$B$236,$U73)</f>
        <v>42</v>
      </c>
      <c r="C73" s="13" t="str">
        <f aca="false">INDEX(評価項目対応!$F$6:$F$236,$U73)</f>
        <v>4.04c</v>
      </c>
      <c r="D73" s="11" t="str">
        <f aca="false">INDEX(評価項目対応!$D$6:$D$236,$U73)</f>
        <v>RDPの管理</v>
      </c>
      <c r="E73" s="11" t="str">
        <f aca="false">INDEX(評価項目対応!$E$6:$E$236,$U73)</f>
        <v>RDPやその他のリモートデスクトップサービスの使用を制限する。</v>
      </c>
      <c r="F73" s="13" t="str">
        <f aca="false">IF($D$4="","",$D$4)</f>
        <v/>
      </c>
      <c r="G73" s="13" t="str">
        <f aca="false">IFERROR(IF(INDEX(評価項目対応!$I$6:$I$236,$U73)="対象","対象",IF(INDEX(評価項目対応!$I$6:$I$236,$U73)="対象外（承認済）","対象外",IF(INDEX(評価項目対応!$I$6:$I$236,$U73)="未確定","n/a",""))),"")</f>
        <v>n/a</v>
      </c>
      <c r="H73" s="25" t="str">
        <f aca="false">IF(ISBLANK(J73),"",IF(J73=5,"Yes",IF(J73=4,"Yes","No")))</f>
        <v/>
      </c>
      <c r="I73" s="18"/>
      <c r="J73" s="26"/>
      <c r="K73" s="18"/>
      <c r="L73" s="18"/>
      <c r="M73" s="11" t="str">
        <f aca="false">IF(INDEX(評価項目対応!$J$6:$J$236,$U73)="","",INDEX(評価項目対応!$J$6:$J$236,$U73))</f>
        <v/>
      </c>
      <c r="N73" s="11" t="str">
        <f aca="false">IF(INDEX(評価項目対応!$N$6:$N$236,$U73)="","",INDEX(評価項目対応!$N$6:$N$236,$U73))</f>
        <v/>
      </c>
      <c r="O73" s="11" t="str">
        <f aca="false">IF(INDEX(評価項目対応!$O$6:$O$236,$U73)="","",INDEX(評価項目対応!$O$6:$O$236,$U73))</f>
        <v/>
      </c>
      <c r="P73" s="27" t="n">
        <f aca="false">COUNTIF(F73:G73,"")+COUNTIF(I73:O73,"")-IF(AND(G73="対象外",K73=""),1,0)</f>
        <v>8</v>
      </c>
      <c r="Q73" s="11" t="str">
        <f aca="false">IF(F73="","会社名コード未設定（D4）",IF(OR(G73="",G73="n/a"),"適用性を確定（評価項目対応I列）",IF(AND(G73="対象外",OR(I73&lt;&gt;"対象外",J73&lt;&gt;"n/a")),"対象外ならR=対象外・S=n/a",IF(AND(G73="対象",OR(I73="対象外",J73="n/a")),"対象なのにR／Sが対象外・n/a",IF(AND(G73="対象",OR(I73="",J73="")),"R・Sを入力",IF(AND(ISNUMBER(J73),ISNUMBER(V73),ABS(N(J73)-N(V73))&gt;=1),"RとSの乖離（案分ならUに明記）",IF(AND(G73="対象",L73=""),"Uに制約・代替策・未検証を記載",IF(AND(G73="対象外",L73=""),"対象外の理由・承認者をUに記載",IF(OR(M73="",N73="",O73=""),"V～Xを入力",IF(P73&gt;0,"未記入あり（P列）","OK"))))))))))</f>
        <v>会社名コード未設定（D4）</v>
      </c>
      <c r="R73" s="11" t="str">
        <f aca="false">IF(INDEX(評価項目対応!$M$6:$M$236,$U73)="","",INDEX(評価項目対応!$M$6:$M$236,$U73))</f>
        <v>3.03, 3.04</v>
      </c>
      <c r="S73" s="11" t="str">
        <f aca="false">INDEX(評価項目対応!$H$6:$H$236,$U73)</f>
        <v>VDI・RDP・リモート環境・RMM・公開サービスの既存証跡を受領する。端末側のリモートアクセス系ツール（拡張・Android・Chrome Remote Desktop）の制御は3.03／3.04で確認する。 端末側のリモートアクセス系ツール（拡張・PWA・Androidアプリ・Chrome Remote Desktop）の制御（3.03／3.04）も根拠にする。</v>
      </c>
      <c r="T73" s="11" t="str">
        <f aca="false">TRIM(IF(INDEX(評価項目対応!$K$6:$K$236,$U73)="","","試験ID: "&amp;INDEX(評価項目対応!$K$6:$K$236,$U73)&amp;"　")&amp;IF(INDEX(評価項目対応!$L$6:$L$236,$U73)="","","判断理由: "&amp;INDEX(評価項目対応!$L$6:$L$236,$U73)))</f>
        <v/>
      </c>
      <c r="U73" s="28" t="n">
        <f aca="false">MATCH($A73,評価項目対応!$A$6:$A$236,0)</f>
        <v>67</v>
      </c>
      <c r="V73" s="28" t="str">
        <f aca="false">IFERROR(VLOOKUP(I73,$X$6:$Y$11,2,FALSE()),"")</f>
        <v/>
      </c>
    </row>
    <row r="74" customFormat="false" ht="63.75" hidden="false" customHeight="true" outlineLevel="0" collapsed="false">
      <c r="A74" s="13" t="n">
        <v>70</v>
      </c>
      <c r="B74" s="13" t="n">
        <f aca="false">INDEX(評価項目対応!$B$6:$B$236,$U74)</f>
        <v>43</v>
      </c>
      <c r="C74" s="13" t="str">
        <f aca="false">INDEX(評価項目対応!$F$6:$F$236,$U74)</f>
        <v>4.04c</v>
      </c>
      <c r="D74" s="11" t="str">
        <f aca="false">INDEX(評価項目対応!$D$6:$D$236,$U74)</f>
        <v>RDPの管理</v>
      </c>
      <c r="E74" s="11" t="str">
        <f aca="false">INDEX(評価項目対応!$E$6:$E$236,$U74)</f>
        <v>RDPが必要な場合は、ベストプラクティスを適用する。</v>
      </c>
      <c r="F74" s="13" t="str">
        <f aca="false">IF($D$4="","",$D$4)</f>
        <v/>
      </c>
      <c r="G74" s="13" t="str">
        <f aca="false">IFERROR(IF(INDEX(評価項目対応!$I$6:$I$236,$U74)="対象","対象",IF(INDEX(評価項目対応!$I$6:$I$236,$U74)="対象外（承認済）","対象外",IF(INDEX(評価項目対応!$I$6:$I$236,$U74)="未確定","n/a",""))),"")</f>
        <v>n/a</v>
      </c>
      <c r="H74" s="25" t="str">
        <f aca="false">IF(ISBLANK(J74),"",IF(J74=5,"Yes",IF(J74=4,"Yes","No")))</f>
        <v/>
      </c>
      <c r="I74" s="18"/>
      <c r="J74" s="26"/>
      <c r="K74" s="18"/>
      <c r="L74" s="18"/>
      <c r="M74" s="11" t="str">
        <f aca="false">IF(INDEX(評価項目対応!$J$6:$J$236,$U74)="","",INDEX(評価項目対応!$J$6:$J$236,$U74))</f>
        <v/>
      </c>
      <c r="N74" s="11" t="str">
        <f aca="false">IF(INDEX(評価項目対応!$N$6:$N$236,$U74)="","",INDEX(評価項目対応!$N$6:$N$236,$U74))</f>
        <v/>
      </c>
      <c r="O74" s="11" t="str">
        <f aca="false">IF(INDEX(評価項目対応!$O$6:$O$236,$U74)="","",INDEX(評価項目対応!$O$6:$O$236,$U74))</f>
        <v/>
      </c>
      <c r="P74" s="27" t="n">
        <f aca="false">COUNTIF(F74:G74,"")+COUNTIF(I74:O74,"")-IF(AND(G74="対象外",K74=""),1,0)</f>
        <v>8</v>
      </c>
      <c r="Q74" s="11" t="str">
        <f aca="false">IF(F74="","会社名コード未設定（D4）",IF(OR(G74="",G74="n/a"),"適用性を確定（評価項目対応I列）",IF(AND(G74="対象外",OR(I74&lt;&gt;"対象外",J74&lt;&gt;"n/a")),"対象外ならR=対象外・S=n/a",IF(AND(G74="対象",OR(I74="対象外",J74="n/a")),"対象なのにR／Sが対象外・n/a",IF(AND(G74="対象",OR(I74="",J74="")),"R・Sを入力",IF(AND(ISNUMBER(J74),ISNUMBER(V74),ABS(N(J74)-N(V74))&gt;=1),"RとSの乖離（案分ならUに明記）",IF(AND(G74="対象",L74=""),"Uに制約・代替策・未検証を記載",IF(AND(G74="対象外",L74=""),"対象外の理由・承認者をUに記載",IF(OR(M74="",N74="",O74=""),"V～Xを入力",IF(P74&gt;0,"未記入あり（P列）","OK"))))))))))</f>
        <v>会社名コード未設定（D4）</v>
      </c>
      <c r="R74" s="11" t="str">
        <f aca="false">IF(INDEX(評価項目対応!$M$6:$M$236,$U74)="","",INDEX(評価項目対応!$M$6:$M$236,$U74))</f>
        <v/>
      </c>
      <c r="S74" s="11" t="str">
        <f aca="false">INDEX(評価項目対応!$H$6:$H$236,$U74)</f>
        <v>VDI・RDP・リモート環境・RMM・公開サービスの既存証跡を受領する。端末側のリモートアクセス系ツール（拡張・Android・Chrome Remote Desktop）の制御は3.03／3.04で確認する。</v>
      </c>
      <c r="T74" s="11" t="str">
        <f aca="false">TRIM(IF(INDEX(評価項目対応!$K$6:$K$236,$U74)="","","試験ID: "&amp;INDEX(評価項目対応!$K$6:$K$236,$U74)&amp;"　")&amp;IF(INDEX(評価項目対応!$L$6:$L$236,$U74)="","","判断理由: "&amp;INDEX(評価項目対応!$L$6:$L$236,$U74)))</f>
        <v/>
      </c>
      <c r="U74" s="28" t="n">
        <f aca="false">MATCH($A74,評価項目対応!$A$6:$A$236,0)</f>
        <v>68</v>
      </c>
      <c r="V74" s="28" t="str">
        <f aca="false">IFERROR(VLOOKUP(I74,$X$6:$Y$11,2,FALSE()),"")</f>
        <v/>
      </c>
    </row>
    <row r="75" customFormat="false" ht="63.75" hidden="false" customHeight="true" outlineLevel="0" collapsed="false">
      <c r="A75" s="13" t="n">
        <v>71</v>
      </c>
      <c r="B75" s="13" t="n">
        <f aca="false">INDEX(評価項目対応!$B$6:$B$236,$U75)</f>
        <v>44</v>
      </c>
      <c r="C75" s="13" t="str">
        <f aca="false">INDEX(評価項目対応!$F$6:$F$236,$U75)</f>
        <v>4.04c</v>
      </c>
      <c r="D75" s="11" t="str">
        <f aca="false">INDEX(評価項目対応!$D$6:$D$236,$U75)</f>
        <v>RDPの管理</v>
      </c>
      <c r="E75" s="11" t="str">
        <f aca="false">INDEX(評価項目対応!$E$6:$E$236,$U75)</f>
        <v>ネットワーク上でRDPを使用しているシステムを監査する。</v>
      </c>
      <c r="F75" s="13" t="str">
        <f aca="false">IF($D$4="","",$D$4)</f>
        <v/>
      </c>
      <c r="G75" s="13" t="str">
        <f aca="false">IFERROR(IF(INDEX(評価項目対応!$I$6:$I$236,$U75)="対象","対象",IF(INDEX(評価項目対応!$I$6:$I$236,$U75)="対象外（承認済）","対象外",IF(INDEX(評価項目対応!$I$6:$I$236,$U75)="未確定","n/a",""))),"")</f>
        <v>n/a</v>
      </c>
      <c r="H75" s="25" t="str">
        <f aca="false">IF(ISBLANK(J75),"",IF(J75=5,"Yes",IF(J75=4,"Yes","No")))</f>
        <v/>
      </c>
      <c r="I75" s="18"/>
      <c r="J75" s="26"/>
      <c r="K75" s="18"/>
      <c r="L75" s="18"/>
      <c r="M75" s="11" t="str">
        <f aca="false">IF(INDEX(評価項目対応!$J$6:$J$236,$U75)="","",INDEX(評価項目対応!$J$6:$J$236,$U75))</f>
        <v/>
      </c>
      <c r="N75" s="11" t="str">
        <f aca="false">IF(INDEX(評価項目対応!$N$6:$N$236,$U75)="","",INDEX(評価項目対応!$N$6:$N$236,$U75))</f>
        <v/>
      </c>
      <c r="O75" s="11" t="str">
        <f aca="false">IF(INDEX(評価項目対応!$O$6:$O$236,$U75)="","",INDEX(評価項目対応!$O$6:$O$236,$U75))</f>
        <v/>
      </c>
      <c r="P75" s="27" t="n">
        <f aca="false">COUNTIF(F75:G75,"")+COUNTIF(I75:O75,"")-IF(AND(G75="対象外",K75=""),1,0)</f>
        <v>8</v>
      </c>
      <c r="Q75" s="11" t="str">
        <f aca="false">IF(F75="","会社名コード未設定（D4）",IF(OR(G75="",G75="n/a"),"適用性を確定（評価項目対応I列）",IF(AND(G75="対象外",OR(I75&lt;&gt;"対象外",J75&lt;&gt;"n/a")),"対象外ならR=対象外・S=n/a",IF(AND(G75="対象",OR(I75="対象外",J75="n/a")),"対象なのにR／Sが対象外・n/a",IF(AND(G75="対象",OR(I75="",J75="")),"R・Sを入力",IF(AND(ISNUMBER(J75),ISNUMBER(V75),ABS(N(J75)-N(V75))&gt;=1),"RとSの乖離（案分ならUに明記）",IF(AND(G75="対象",L75=""),"Uに制約・代替策・未検証を記載",IF(AND(G75="対象外",L75=""),"対象外の理由・承認者をUに記載",IF(OR(M75="",N75="",O75=""),"V～Xを入力",IF(P75&gt;0,"未記入あり（P列）","OK"))))))))))</f>
        <v>会社名コード未設定（D4）</v>
      </c>
      <c r="R75" s="11" t="str">
        <f aca="false">IF(INDEX(評価項目対応!$M$6:$M$236,$U75)="","",INDEX(評価項目対応!$M$6:$M$236,$U75))</f>
        <v/>
      </c>
      <c r="S75" s="11" t="str">
        <f aca="false">INDEX(評価項目対応!$H$6:$H$236,$U75)</f>
        <v>VDI・RDP・リモート環境・RMM・公開サービスの既存証跡を受領する。端末側のリモートアクセス系ツール（拡張・Android・Chrome Remote Desktop）の制御は3.03／3.04で確認する。</v>
      </c>
      <c r="T75" s="11" t="str">
        <f aca="false">TRIM(IF(INDEX(評価項目対応!$K$6:$K$236,$U75)="","","試験ID: "&amp;INDEX(評価項目対応!$K$6:$K$236,$U75)&amp;"　")&amp;IF(INDEX(評価項目対応!$L$6:$L$236,$U75)="","","判断理由: "&amp;INDEX(評価項目対応!$L$6:$L$236,$U75)))</f>
        <v/>
      </c>
      <c r="U75" s="28" t="n">
        <f aca="false">MATCH($A75,評価項目対応!$A$6:$A$236,0)</f>
        <v>69</v>
      </c>
      <c r="V75" s="28" t="str">
        <f aca="false">IFERROR(VLOOKUP(I75,$X$6:$Y$11,2,FALSE()),"")</f>
        <v/>
      </c>
    </row>
    <row r="76" customFormat="false" ht="63.75" hidden="false" customHeight="true" outlineLevel="0" collapsed="false">
      <c r="A76" s="13" t="n">
        <v>72</v>
      </c>
      <c r="B76" s="13" t="n">
        <f aca="false">INDEX(評価項目対応!$B$6:$B$236,$U76)</f>
        <v>45</v>
      </c>
      <c r="C76" s="13" t="str">
        <f aca="false">INDEX(評価項目対応!$F$6:$F$236,$U76)</f>
        <v>4.04c</v>
      </c>
      <c r="D76" s="11" t="str">
        <f aca="false">INDEX(評価項目対応!$D$6:$D$236,$U76)</f>
        <v>RDPの管理</v>
      </c>
      <c r="E76" s="11" t="str">
        <f aca="false">INDEX(評価項目対応!$E$6:$E$236,$U76)</f>
        <v>使用されていないRDPポートを閉じる。</v>
      </c>
      <c r="F76" s="13" t="str">
        <f aca="false">IF($D$4="","",$D$4)</f>
        <v/>
      </c>
      <c r="G76" s="13" t="str">
        <f aca="false">IFERROR(IF(INDEX(評価項目対応!$I$6:$I$236,$U76)="対象","対象",IF(INDEX(評価項目対応!$I$6:$I$236,$U76)="対象外（承認済）","対象外",IF(INDEX(評価項目対応!$I$6:$I$236,$U76)="未確定","n/a",""))),"")</f>
        <v>n/a</v>
      </c>
      <c r="H76" s="25" t="str">
        <f aca="false">IF(ISBLANK(J76),"",IF(J76=5,"Yes",IF(J76=4,"Yes","No")))</f>
        <v/>
      </c>
      <c r="I76" s="18"/>
      <c r="J76" s="26"/>
      <c r="K76" s="18"/>
      <c r="L76" s="18"/>
      <c r="M76" s="11" t="str">
        <f aca="false">IF(INDEX(評価項目対応!$J$6:$J$236,$U76)="","",INDEX(評価項目対応!$J$6:$J$236,$U76))</f>
        <v/>
      </c>
      <c r="N76" s="11" t="str">
        <f aca="false">IF(INDEX(評価項目対応!$N$6:$N$236,$U76)="","",INDEX(評価項目対応!$N$6:$N$236,$U76))</f>
        <v/>
      </c>
      <c r="O76" s="11" t="str">
        <f aca="false">IF(INDEX(評価項目対応!$O$6:$O$236,$U76)="","",INDEX(評価項目対応!$O$6:$O$236,$U76))</f>
        <v/>
      </c>
      <c r="P76" s="27" t="n">
        <f aca="false">COUNTIF(F76:G76,"")+COUNTIF(I76:O76,"")-IF(AND(G76="対象外",K76=""),1,0)</f>
        <v>8</v>
      </c>
      <c r="Q76" s="11" t="str">
        <f aca="false">IF(F76="","会社名コード未設定（D4）",IF(OR(G76="",G76="n/a"),"適用性を確定（評価項目対応I列）",IF(AND(G76="対象外",OR(I76&lt;&gt;"対象外",J76&lt;&gt;"n/a")),"対象外ならR=対象外・S=n/a",IF(AND(G76="対象",OR(I76="対象外",J76="n/a")),"対象なのにR／Sが対象外・n/a",IF(AND(G76="対象",OR(I76="",J76="")),"R・Sを入力",IF(AND(ISNUMBER(J76),ISNUMBER(V76),ABS(N(J76)-N(V76))&gt;=1),"RとSの乖離（案分ならUに明記）",IF(AND(G76="対象",L76=""),"Uに制約・代替策・未検証を記載",IF(AND(G76="対象外",L76=""),"対象外の理由・承認者をUに記載",IF(OR(M76="",N76="",O76=""),"V～Xを入力",IF(P76&gt;0,"未記入あり（P列）","OK"))))))))))</f>
        <v>会社名コード未設定（D4）</v>
      </c>
      <c r="R76" s="11" t="str">
        <f aca="false">IF(INDEX(評価項目対応!$M$6:$M$236,$U76)="","",INDEX(評価項目対応!$M$6:$M$236,$U76))</f>
        <v/>
      </c>
      <c r="S76" s="11" t="str">
        <f aca="false">INDEX(評価項目対応!$H$6:$H$236,$U76)</f>
        <v>VDI・RDP・リモート環境・RMM・公開サービスの既存証跡を受領する。端末側のリモートアクセス系ツール（拡張・Android・Chrome Remote Desktop）の制御は3.03／3.04で確認する。</v>
      </c>
      <c r="T76" s="11" t="str">
        <f aca="false">TRIM(IF(INDEX(評価項目対応!$K$6:$K$236,$U76)="","","試験ID: "&amp;INDEX(評価項目対応!$K$6:$K$236,$U76)&amp;"　")&amp;IF(INDEX(評価項目対応!$L$6:$L$236,$U76)="","","判断理由: "&amp;INDEX(評価項目対応!$L$6:$L$236,$U76)))</f>
        <v/>
      </c>
      <c r="U76" s="28" t="n">
        <f aca="false">MATCH($A76,評価項目対応!$A$6:$A$236,0)</f>
        <v>70</v>
      </c>
      <c r="V76" s="28" t="str">
        <f aca="false">IFERROR(VLOOKUP(I76,$X$6:$Y$11,2,FALSE()),"")</f>
        <v/>
      </c>
    </row>
    <row r="77" customFormat="false" ht="63.75" hidden="false" customHeight="true" outlineLevel="0" collapsed="false">
      <c r="A77" s="13" t="n">
        <v>73</v>
      </c>
      <c r="B77" s="13" t="n">
        <f aca="false">INDEX(評価項目対応!$B$6:$B$236,$U77)</f>
        <v>46</v>
      </c>
      <c r="C77" s="13" t="str">
        <f aca="false">INDEX(評価項目対応!$F$6:$F$236,$U77)</f>
        <v>4.04c</v>
      </c>
      <c r="D77" s="11" t="str">
        <f aca="false">INDEX(評価項目対応!$D$6:$D$236,$U77)</f>
        <v>RDPの管理</v>
      </c>
      <c r="E77" s="11" t="str">
        <f aca="false">INDEX(評価項目対応!$E$6:$E$236,$U77)</f>
        <v>指定回数のログイン試行後にアカウントロックアウトを強制する。</v>
      </c>
      <c r="F77" s="13" t="str">
        <f aca="false">IF($D$4="","",$D$4)</f>
        <v/>
      </c>
      <c r="G77" s="13" t="str">
        <f aca="false">IFERROR(IF(INDEX(評価項目対応!$I$6:$I$236,$U77)="対象","対象",IF(INDEX(評価項目対応!$I$6:$I$236,$U77)="対象外（承認済）","対象外",IF(INDEX(評価項目対応!$I$6:$I$236,$U77)="未確定","n/a",""))),"")</f>
        <v>n/a</v>
      </c>
      <c r="H77" s="25" t="str">
        <f aca="false">IF(ISBLANK(J77),"",IF(J77=5,"Yes",IF(J77=4,"Yes","No")))</f>
        <v/>
      </c>
      <c r="I77" s="18"/>
      <c r="J77" s="26"/>
      <c r="K77" s="18"/>
      <c r="L77" s="18"/>
      <c r="M77" s="11" t="str">
        <f aca="false">IF(INDEX(評価項目対応!$J$6:$J$236,$U77)="","",INDEX(評価項目対応!$J$6:$J$236,$U77))</f>
        <v/>
      </c>
      <c r="N77" s="11" t="str">
        <f aca="false">IF(INDEX(評価項目対応!$N$6:$N$236,$U77)="","",INDEX(評価項目対応!$N$6:$N$236,$U77))</f>
        <v/>
      </c>
      <c r="O77" s="11" t="str">
        <f aca="false">IF(INDEX(評価項目対応!$O$6:$O$236,$U77)="","",INDEX(評価項目対応!$O$6:$O$236,$U77))</f>
        <v/>
      </c>
      <c r="P77" s="27" t="n">
        <f aca="false">COUNTIF(F77:G77,"")+COUNTIF(I77:O77,"")-IF(AND(G77="対象外",K77=""),1,0)</f>
        <v>8</v>
      </c>
      <c r="Q77" s="11" t="str">
        <f aca="false">IF(F77="","会社名コード未設定（D4）",IF(OR(G77="",G77="n/a"),"適用性を確定（評価項目対応I列）",IF(AND(G77="対象外",OR(I77&lt;&gt;"対象外",J77&lt;&gt;"n/a")),"対象外ならR=対象外・S=n/a",IF(AND(G77="対象",OR(I77="対象外",J77="n/a")),"対象なのにR／Sが対象外・n/a",IF(AND(G77="対象",OR(I77="",J77="")),"R・Sを入力",IF(AND(ISNUMBER(J77),ISNUMBER(V77),ABS(N(J77)-N(V77))&gt;=1),"RとSの乖離（案分ならUに明記）",IF(AND(G77="対象",L77=""),"Uに制約・代替策・未検証を記載",IF(AND(G77="対象外",L77=""),"対象外の理由・承認者をUに記載",IF(OR(M77="",N77="",O77=""),"V～Xを入力",IF(P77&gt;0,"未記入あり（P列）","OK"))))))))))</f>
        <v>会社名コード未設定（D4）</v>
      </c>
      <c r="R77" s="11" t="str">
        <f aca="false">IF(INDEX(評価項目対応!$M$6:$M$236,$U77)="","",INDEX(評価項目対応!$M$6:$M$236,$U77))</f>
        <v/>
      </c>
      <c r="S77" s="11" t="str">
        <f aca="false">INDEX(評価項目対応!$H$6:$H$236,$U77)</f>
        <v>VDI・RDP・リモート環境・RMM・公開サービスの既存証跡を受領する。端末側のリモートアクセス系ツール（拡張・Android・Chrome Remote Desktop）の制御は3.03／3.04で確認する。</v>
      </c>
      <c r="T77" s="11" t="str">
        <f aca="false">TRIM(IF(INDEX(評価項目対応!$K$6:$K$236,$U77)="","","試験ID: "&amp;INDEX(評価項目対応!$K$6:$K$236,$U77)&amp;"　")&amp;IF(INDEX(評価項目対応!$L$6:$L$236,$U77)="","","判断理由: "&amp;INDEX(評価項目対応!$L$6:$L$236,$U77)))</f>
        <v/>
      </c>
      <c r="U77" s="28" t="n">
        <f aca="false">MATCH($A77,評価項目対応!$A$6:$A$236,0)</f>
        <v>71</v>
      </c>
      <c r="V77" s="28" t="str">
        <f aca="false">IFERROR(VLOOKUP(I77,$X$6:$Y$11,2,FALSE()),"")</f>
        <v/>
      </c>
    </row>
    <row r="78" customFormat="false" ht="63.75" hidden="false" customHeight="true" outlineLevel="0" collapsed="false">
      <c r="A78" s="13" t="n">
        <v>74</v>
      </c>
      <c r="B78" s="13" t="n">
        <f aca="false">INDEX(評価項目対応!$B$6:$B$236,$U78)</f>
        <v>47</v>
      </c>
      <c r="C78" s="13" t="str">
        <f aca="false">INDEX(評価項目対応!$F$6:$F$236,$U78)</f>
        <v>4.04c</v>
      </c>
      <c r="D78" s="11" t="str">
        <f aca="false">INDEX(評価項目対応!$D$6:$D$236,$U78)</f>
        <v>RDPの管理</v>
      </c>
      <c r="E78" s="11" t="str">
        <f aca="false">INDEX(評価項目対応!$E$6:$E$236,$U78)</f>
        <v>RDPに多要素認証（MFA）を適用する。</v>
      </c>
      <c r="F78" s="13" t="str">
        <f aca="false">IF($D$4="","",$D$4)</f>
        <v/>
      </c>
      <c r="G78" s="13" t="str">
        <f aca="false">IFERROR(IF(INDEX(評価項目対応!$I$6:$I$236,$U78)="対象","対象",IF(INDEX(評価項目対応!$I$6:$I$236,$U78)="対象外（承認済）","対象外",IF(INDEX(評価項目対応!$I$6:$I$236,$U78)="未確定","n/a",""))),"")</f>
        <v>n/a</v>
      </c>
      <c r="H78" s="25" t="str">
        <f aca="false">IF(ISBLANK(J78),"",IF(J78=5,"Yes",IF(J78=4,"Yes","No")))</f>
        <v/>
      </c>
      <c r="I78" s="18"/>
      <c r="J78" s="26"/>
      <c r="K78" s="18"/>
      <c r="L78" s="18"/>
      <c r="M78" s="11" t="str">
        <f aca="false">IF(INDEX(評価項目対応!$J$6:$J$236,$U78)="","",INDEX(評価項目対応!$J$6:$J$236,$U78))</f>
        <v/>
      </c>
      <c r="N78" s="11" t="str">
        <f aca="false">IF(INDEX(評価項目対応!$N$6:$N$236,$U78)="","",INDEX(評価項目対応!$N$6:$N$236,$U78))</f>
        <v/>
      </c>
      <c r="O78" s="11" t="str">
        <f aca="false">IF(INDEX(評価項目対応!$O$6:$O$236,$U78)="","",INDEX(評価項目対応!$O$6:$O$236,$U78))</f>
        <v/>
      </c>
      <c r="P78" s="27" t="n">
        <f aca="false">COUNTIF(F78:G78,"")+COUNTIF(I78:O78,"")-IF(AND(G78="対象外",K78=""),1,0)</f>
        <v>8</v>
      </c>
      <c r="Q78" s="11" t="str">
        <f aca="false">IF(F78="","会社名コード未設定（D4）",IF(OR(G78="",G78="n/a"),"適用性を確定（評価項目対応I列）",IF(AND(G78="対象外",OR(I78&lt;&gt;"対象外",J78&lt;&gt;"n/a")),"対象外ならR=対象外・S=n/a",IF(AND(G78="対象",OR(I78="対象外",J78="n/a")),"対象なのにR／Sが対象外・n/a",IF(AND(G78="対象",OR(I78="",J78="")),"R・Sを入力",IF(AND(ISNUMBER(J78),ISNUMBER(V78),ABS(N(J78)-N(V78))&gt;=1),"RとSの乖離（案分ならUに明記）",IF(AND(G78="対象",L78=""),"Uに制約・代替策・未検証を記載",IF(AND(G78="対象外",L78=""),"対象外の理由・承認者をUに記載",IF(OR(M78="",N78="",O78=""),"V～Xを入力",IF(P78&gt;0,"未記入あり（P列）","OK"))))))))))</f>
        <v>会社名コード未設定（D4）</v>
      </c>
      <c r="R78" s="11" t="str">
        <f aca="false">IF(INDEX(評価項目対応!$M$6:$M$236,$U78)="","",INDEX(評価項目対応!$M$6:$M$236,$U78))</f>
        <v/>
      </c>
      <c r="S78" s="11" t="str">
        <f aca="false">INDEX(評価項目対応!$H$6:$H$236,$U78)</f>
        <v>VDI・RDP・リモート環境・RMM・公開サービスの既存証跡を受領する。端末側のリモートアクセス系ツール（拡張・Android・Chrome Remote Desktop）の制御は3.03／3.04で確認する。</v>
      </c>
      <c r="T78" s="11" t="str">
        <f aca="false">TRIM(IF(INDEX(評価項目対応!$K$6:$K$236,$U78)="","","試験ID: "&amp;INDEX(評価項目対応!$K$6:$K$236,$U78)&amp;"　")&amp;IF(INDEX(評価項目対応!$L$6:$L$236,$U78)="","","判断理由: "&amp;INDEX(評価項目対応!$L$6:$L$236,$U78)))</f>
        <v/>
      </c>
      <c r="U78" s="28" t="n">
        <f aca="false">MATCH($A78,評価項目対応!$A$6:$A$236,0)</f>
        <v>72</v>
      </c>
      <c r="V78" s="28" t="str">
        <f aca="false">IFERROR(VLOOKUP(I78,$X$6:$Y$11,2,FALSE()),"")</f>
        <v/>
      </c>
    </row>
    <row r="79" customFormat="false" ht="63.75" hidden="false" customHeight="true" outlineLevel="0" collapsed="false">
      <c r="A79" s="13" t="n">
        <v>75</v>
      </c>
      <c r="B79" s="13" t="n">
        <f aca="false">INDEX(評価項目対応!$B$6:$B$236,$U79)</f>
        <v>48</v>
      </c>
      <c r="C79" s="13" t="str">
        <f aca="false">INDEX(評価項目対応!$F$6:$F$236,$U79)</f>
        <v>4.04c</v>
      </c>
      <c r="D79" s="11" t="str">
        <f aca="false">INDEX(評価項目対応!$D$6:$D$236,$U79)</f>
        <v>RDPの管理</v>
      </c>
      <c r="E79" s="11" t="str">
        <f aca="false">INDEX(評価項目対応!$E$6:$E$236,$U79)</f>
        <v>RDPログイン試行をログに記録する。</v>
      </c>
      <c r="F79" s="13" t="str">
        <f aca="false">IF($D$4="","",$D$4)</f>
        <v/>
      </c>
      <c r="G79" s="13" t="str">
        <f aca="false">IFERROR(IF(INDEX(評価項目対応!$I$6:$I$236,$U79)="対象","対象",IF(INDEX(評価項目対応!$I$6:$I$236,$U79)="対象外（承認済）","対象外",IF(INDEX(評価項目対応!$I$6:$I$236,$U79)="未確定","n/a",""))),"")</f>
        <v>n/a</v>
      </c>
      <c r="H79" s="25" t="str">
        <f aca="false">IF(ISBLANK(J79),"",IF(J79=5,"Yes",IF(J79=4,"Yes","No")))</f>
        <v/>
      </c>
      <c r="I79" s="18"/>
      <c r="J79" s="26"/>
      <c r="K79" s="18"/>
      <c r="L79" s="18"/>
      <c r="M79" s="11" t="str">
        <f aca="false">IF(INDEX(評価項目対応!$J$6:$J$236,$U79)="","",INDEX(評価項目対応!$J$6:$J$236,$U79))</f>
        <v/>
      </c>
      <c r="N79" s="11" t="str">
        <f aca="false">IF(INDEX(評価項目対応!$N$6:$N$236,$U79)="","",INDEX(評価項目対応!$N$6:$N$236,$U79))</f>
        <v/>
      </c>
      <c r="O79" s="11" t="str">
        <f aca="false">IF(INDEX(評価項目対応!$O$6:$O$236,$U79)="","",INDEX(評価項目対応!$O$6:$O$236,$U79))</f>
        <v/>
      </c>
      <c r="P79" s="27" t="n">
        <f aca="false">COUNTIF(F79:G79,"")+COUNTIF(I79:O79,"")-IF(AND(G79="対象外",K79=""),1,0)</f>
        <v>8</v>
      </c>
      <c r="Q79" s="11" t="str">
        <f aca="false">IF(F79="","会社名コード未設定（D4）",IF(OR(G79="",G79="n/a"),"適用性を確定（評価項目対応I列）",IF(AND(G79="対象外",OR(I79&lt;&gt;"対象外",J79&lt;&gt;"n/a")),"対象外ならR=対象外・S=n/a",IF(AND(G79="対象",OR(I79="対象外",J79="n/a")),"対象なのにR／Sが対象外・n/a",IF(AND(G79="対象",OR(I79="",J79="")),"R・Sを入力",IF(AND(ISNUMBER(J79),ISNUMBER(V79),ABS(N(J79)-N(V79))&gt;=1),"RとSの乖離（案分ならUに明記）",IF(AND(G79="対象",L79=""),"Uに制約・代替策・未検証を記載",IF(AND(G79="対象外",L79=""),"対象外の理由・承認者をUに記載",IF(OR(M79="",N79="",O79=""),"V～Xを入力",IF(P79&gt;0,"未記入あり（P列）","OK"))))))))))</f>
        <v>会社名コード未設定（D4）</v>
      </c>
      <c r="R79" s="11" t="str">
        <f aca="false">IF(INDEX(評価項目対応!$M$6:$M$236,$U79)="","",INDEX(評価項目対応!$M$6:$M$236,$U79))</f>
        <v/>
      </c>
      <c r="S79" s="11" t="str">
        <f aca="false">INDEX(評価項目対応!$H$6:$H$236,$U79)</f>
        <v>VDI・RDP・リモート環境・RMM・公開サービスの既存証跡を受領する。端末側のリモートアクセス系ツール（拡張・Android・Chrome Remote Desktop）の制御は3.03／3.04で確認する。</v>
      </c>
      <c r="T79" s="11" t="str">
        <f aca="false">TRIM(IF(INDEX(評価項目対応!$K$6:$K$236,$U79)="","","試験ID: "&amp;INDEX(評価項目対応!$K$6:$K$236,$U79)&amp;"　")&amp;IF(INDEX(評価項目対応!$L$6:$L$236,$U79)="","","判断理由: "&amp;INDEX(評価項目対応!$L$6:$L$236,$U79)))</f>
        <v/>
      </c>
      <c r="U79" s="28" t="n">
        <f aca="false">MATCH($A79,評価項目対応!$A$6:$A$236,0)</f>
        <v>73</v>
      </c>
      <c r="V79" s="28" t="str">
        <f aca="false">IFERROR(VLOOKUP(I79,$X$6:$Y$11,2,FALSE()),"")</f>
        <v/>
      </c>
    </row>
    <row r="80" customFormat="false" ht="49.5" hidden="false" customHeight="true" outlineLevel="0" collapsed="false">
      <c r="A80" s="13" t="n">
        <v>76</v>
      </c>
      <c r="B80" s="13" t="n">
        <f aca="false">INDEX(評価項目対応!$B$6:$B$236,$U80)</f>
        <v>54</v>
      </c>
      <c r="C80" s="13" t="str">
        <f aca="false">INDEX(評価項目対応!$F$6:$F$236,$U80)</f>
        <v>4.04b</v>
      </c>
      <c r="D80" s="11" t="str">
        <f aca="false">INDEX(評価項目対応!$D$6:$D$236,$U80)</f>
        <v>SMB管理</v>
      </c>
      <c r="E80" s="11" t="str">
        <f aca="false">INDEX(評価項目対応!$E$6:$E$236,$U80)</f>
        <v>Server Message Block（SMB）プロトコルバージョン1を無効にする。</v>
      </c>
      <c r="F80" s="13" t="str">
        <f aca="false">IF($D$4="","",$D$4)</f>
        <v/>
      </c>
      <c r="G80" s="13" t="str">
        <f aca="false">IFERROR(IF(INDEX(評価項目対応!$I$6:$I$236,$U80)="対象","対象",IF(INDEX(評価項目対応!$I$6:$I$236,$U80)="対象外（承認済）","対象外",IF(INDEX(評価項目対応!$I$6:$I$236,$U80)="未確定","n/a",""))),"")</f>
        <v>n/a</v>
      </c>
      <c r="H80" s="25" t="str">
        <f aca="false">IF(ISBLANK(J80),"",IF(J80=5,"Yes",IF(J80=4,"Yes","No")))</f>
        <v/>
      </c>
      <c r="I80" s="18"/>
      <c r="J80" s="26"/>
      <c r="K80" s="18"/>
      <c r="L80" s="18"/>
      <c r="M80" s="11" t="str">
        <f aca="false">IF(INDEX(評価項目対応!$J$6:$J$236,$U80)="","",INDEX(評価項目対応!$J$6:$J$236,$U80))</f>
        <v/>
      </c>
      <c r="N80" s="11" t="str">
        <f aca="false">IF(INDEX(評価項目対応!$N$6:$N$236,$U80)="","",INDEX(評価項目対応!$N$6:$N$236,$U80))</f>
        <v/>
      </c>
      <c r="O80" s="11" t="str">
        <f aca="false">IF(INDEX(評価項目対応!$O$6:$O$236,$U80)="","",INDEX(評価項目対応!$O$6:$O$236,$U80))</f>
        <v/>
      </c>
      <c r="P80" s="27" t="n">
        <f aca="false">COUNTIF(F80:G80,"")+COUNTIF(I80:O80,"")-IF(AND(G80="対象外",K80=""),1,0)</f>
        <v>8</v>
      </c>
      <c r="Q80" s="11" t="str">
        <f aca="false">IF(F80="","会社名コード未設定（D4）",IF(OR(G80="",G80="n/a"),"適用性を確定（評価項目対応I列）",IF(AND(G80="対象外",OR(I80&lt;&gt;"対象外",J80&lt;&gt;"n/a")),"対象外ならR=対象外・S=n/a",IF(AND(G80="対象",OR(I80="対象外",J80="n/a")),"対象なのにR／Sが対象外・n/a",IF(AND(G80="対象",OR(I80="",J80="")),"R・Sを入力",IF(AND(ISNUMBER(J80),ISNUMBER(V80),ABS(N(J80)-N(V80))&gt;=1),"RとSの乖離（案分ならUに明記）",IF(AND(G80="対象",L80=""),"Uに制約・代替策・未検証を記載",IF(AND(G80="対象外",L80=""),"対象外の理由・承認者をUに記載",IF(OR(M80="",N80="",O80=""),"V～Xを入力",IF(P80&gt;0,"未記入あり（P列）","OK"))))))))))</f>
        <v>会社名コード未設定（D4）</v>
      </c>
      <c r="R80" s="11" t="str">
        <f aca="false">IF(INDEX(評価項目対応!$M$6:$M$236,$U80)="","",INDEX(評価項目対応!$M$6:$M$236,$U80))</f>
        <v/>
      </c>
      <c r="S80" s="11" t="str">
        <f aca="false">INDEX(評価項目対応!$H$6:$H$236,$U80)</f>
        <v>接続先のSMB・NTLM・暗号化設定は既存証跡を受領する。ChromeOS側のSMBクライアント制御（共有マウント可否・NTLM・NetBIOS探索）は4.09で確認する。</v>
      </c>
      <c r="T80" s="11" t="str">
        <f aca="false">TRIM(IF(INDEX(評価項目対応!$K$6:$K$236,$U80)="","","試験ID: "&amp;INDEX(評価項目対応!$K$6:$K$236,$U80)&amp;"　")&amp;IF(INDEX(評価項目対応!$L$6:$L$236,$U80)="","","判断理由: "&amp;INDEX(評価項目対応!$L$6:$L$236,$U80)))</f>
        <v/>
      </c>
      <c r="U80" s="28" t="n">
        <f aca="false">MATCH($A80,評価項目対応!$A$6:$A$236,0)</f>
        <v>74</v>
      </c>
      <c r="V80" s="28" t="str">
        <f aca="false">IFERROR(VLOOKUP(I80,$X$6:$Y$11,2,FALSE()),"")</f>
        <v/>
      </c>
    </row>
    <row r="81" customFormat="false" ht="49.5" hidden="false" customHeight="true" outlineLevel="0" collapsed="false">
      <c r="A81" s="13" t="n">
        <v>77</v>
      </c>
      <c r="B81" s="13" t="n">
        <f aca="false">INDEX(評価項目対応!$B$6:$B$236,$U81)</f>
        <v>55</v>
      </c>
      <c r="C81" s="13" t="str">
        <f aca="false">INDEX(評価項目対応!$F$6:$F$236,$U81)</f>
        <v>4.04b</v>
      </c>
      <c r="D81" s="11" t="str">
        <f aca="false">INDEX(評価項目対応!$D$6:$D$236,$U81)</f>
        <v>SMB管理</v>
      </c>
      <c r="E81" s="11" t="str">
        <f aca="false">INDEX(評価項目対応!$E$6:$E$236,$U81)</f>
        <v>既存の依存関係（既存のシステムやアプリケーション）を緩和した後、SM
Bをバージョン3（SMBv3）にアップグレードする。</v>
      </c>
      <c r="F81" s="13" t="str">
        <f aca="false">IF($D$4="","",$D$4)</f>
        <v/>
      </c>
      <c r="G81" s="13" t="str">
        <f aca="false">IFERROR(IF(INDEX(評価項目対応!$I$6:$I$236,$U81)="対象","対象",IF(INDEX(評価項目対応!$I$6:$I$236,$U81)="対象外（承認済）","対象外",IF(INDEX(評価項目対応!$I$6:$I$236,$U81)="未確定","n/a",""))),"")</f>
        <v>n/a</v>
      </c>
      <c r="H81" s="25" t="str">
        <f aca="false">IF(ISBLANK(J81),"",IF(J81=5,"Yes",IF(J81=4,"Yes","No")))</f>
        <v/>
      </c>
      <c r="I81" s="18"/>
      <c r="J81" s="26"/>
      <c r="K81" s="18"/>
      <c r="L81" s="18"/>
      <c r="M81" s="11" t="str">
        <f aca="false">IF(INDEX(評価項目対応!$J$6:$J$236,$U81)="","",INDEX(評価項目対応!$J$6:$J$236,$U81))</f>
        <v/>
      </c>
      <c r="N81" s="11" t="str">
        <f aca="false">IF(INDEX(評価項目対応!$N$6:$N$236,$U81)="","",INDEX(評価項目対応!$N$6:$N$236,$U81))</f>
        <v/>
      </c>
      <c r="O81" s="11" t="str">
        <f aca="false">IF(INDEX(評価項目対応!$O$6:$O$236,$U81)="","",INDEX(評価項目対応!$O$6:$O$236,$U81))</f>
        <v/>
      </c>
      <c r="P81" s="27" t="n">
        <f aca="false">COUNTIF(F81:G81,"")+COUNTIF(I81:O81,"")-IF(AND(G81="対象外",K81=""),1,0)</f>
        <v>8</v>
      </c>
      <c r="Q81" s="11" t="str">
        <f aca="false">IF(F81="","会社名コード未設定（D4）",IF(OR(G81="",G81="n/a"),"適用性を確定（評価項目対応I列）",IF(AND(G81="対象外",OR(I81&lt;&gt;"対象外",J81&lt;&gt;"n/a")),"対象外ならR=対象外・S=n/a",IF(AND(G81="対象",OR(I81="対象外",J81="n/a")),"対象なのにR／Sが対象外・n/a",IF(AND(G81="対象",OR(I81="",J81="")),"R・Sを入力",IF(AND(ISNUMBER(J81),ISNUMBER(V81),ABS(N(J81)-N(V81))&gt;=1),"RとSの乖離（案分ならUに明記）",IF(AND(G81="対象",L81=""),"Uに制約・代替策・未検証を記載",IF(AND(G81="対象外",L81=""),"対象外の理由・承認者をUに記載",IF(OR(M81="",N81="",O81=""),"V～Xを入力",IF(P81&gt;0,"未記入あり（P列）","OK"))))))))))</f>
        <v>会社名コード未設定（D4）</v>
      </c>
      <c r="R81" s="11" t="str">
        <f aca="false">IF(INDEX(評価項目対応!$M$6:$M$236,$U81)="","",INDEX(評価項目対応!$M$6:$M$236,$U81))</f>
        <v/>
      </c>
      <c r="S81" s="11" t="str">
        <f aca="false">INDEX(評価項目対応!$H$6:$H$236,$U81)</f>
        <v>接続先のSMB・NTLM・暗号化設定は既存証跡を受領する。ChromeOS側のSMBクライアント制御（共有マウント可否・NTLM・NetBIOS探索）は4.09で確認する。</v>
      </c>
      <c r="T81" s="11" t="str">
        <f aca="false">TRIM(IF(INDEX(評価項目対応!$K$6:$K$236,$U81)="","","試験ID: "&amp;INDEX(評価項目対応!$K$6:$K$236,$U81)&amp;"　")&amp;IF(INDEX(評価項目対応!$L$6:$L$236,$U81)="","","判断理由: "&amp;INDEX(評価項目対応!$L$6:$L$236,$U81)))</f>
        <v/>
      </c>
      <c r="U81" s="28" t="n">
        <f aca="false">MATCH($A81,評価項目対応!$A$6:$A$236,0)</f>
        <v>75</v>
      </c>
      <c r="V81" s="28" t="str">
        <f aca="false">IFERROR(VLOOKUP(I81,$X$6:$Y$11,2,FALSE()),"")</f>
        <v/>
      </c>
    </row>
    <row r="82" customFormat="false" ht="49.5" hidden="false" customHeight="true" outlineLevel="0" collapsed="false">
      <c r="A82" s="13" t="n">
        <v>78</v>
      </c>
      <c r="B82" s="13" t="n">
        <f aca="false">INDEX(評価項目対応!$B$6:$B$236,$U82)</f>
        <v>56</v>
      </c>
      <c r="C82" s="13" t="str">
        <f aca="false">INDEX(評価項目対応!$F$6:$F$236,$U82)</f>
        <v>4.04b</v>
      </c>
      <c r="D82" s="11" t="str">
        <f aca="false">INDEX(評価項目対応!$D$6:$D$236,$U82)</f>
        <v>SMB管理</v>
      </c>
      <c r="E82" s="11" t="str">
        <f aca="false">INDEX(評価項目対応!$E$6:$E$236,$U82)</f>
        <v>悪意のある攻撃者がSMBを使用して組織全体にマルウェアを拡散させるた
め、以下のガイダンスを実装してSMBv3を強化する。</v>
      </c>
      <c r="F82" s="13" t="str">
        <f aca="false">IF($D$4="","",$D$4)</f>
        <v/>
      </c>
      <c r="G82" s="13" t="str">
        <f aca="false">IFERROR(IF(INDEX(評価項目対応!$I$6:$I$236,$U82)="対象","対象",IF(INDEX(評価項目対応!$I$6:$I$236,$U82)="対象外（承認済）","対象外",IF(INDEX(評価項目対応!$I$6:$I$236,$U82)="未確定","n/a",""))),"")</f>
        <v>n/a</v>
      </c>
      <c r="H82" s="25" t="str">
        <f aca="false">IF(ISBLANK(J82),"",IF(J82=5,"Yes",IF(J82=4,"Yes","No")))</f>
        <v/>
      </c>
      <c r="I82" s="18"/>
      <c r="J82" s="26"/>
      <c r="K82" s="18"/>
      <c r="L82" s="18"/>
      <c r="M82" s="11" t="str">
        <f aca="false">IF(INDEX(評価項目対応!$J$6:$J$236,$U82)="","",INDEX(評価項目対応!$J$6:$J$236,$U82))</f>
        <v/>
      </c>
      <c r="N82" s="11" t="str">
        <f aca="false">IF(INDEX(評価項目対応!$N$6:$N$236,$U82)="","",INDEX(評価項目対応!$N$6:$N$236,$U82))</f>
        <v/>
      </c>
      <c r="O82" s="11" t="str">
        <f aca="false">IF(INDEX(評価項目対応!$O$6:$O$236,$U82)="","",INDEX(評価項目対応!$O$6:$O$236,$U82))</f>
        <v/>
      </c>
      <c r="P82" s="27" t="n">
        <f aca="false">COUNTIF(F82:G82,"")+COUNTIF(I82:O82,"")-IF(AND(G82="対象外",K82=""),1,0)</f>
        <v>8</v>
      </c>
      <c r="Q82" s="11" t="str">
        <f aca="false">IF(F82="","会社名コード未設定（D4）",IF(OR(G82="",G82="n/a"),"適用性を確定（評価項目対応I列）",IF(AND(G82="対象外",OR(I82&lt;&gt;"対象外",J82&lt;&gt;"n/a")),"対象外ならR=対象外・S=n/a",IF(AND(G82="対象",OR(I82="対象外",J82="n/a")),"対象なのにR／Sが対象外・n/a",IF(AND(G82="対象",OR(I82="",J82="")),"R・Sを入力",IF(AND(ISNUMBER(J82),ISNUMBER(V82),ABS(N(J82)-N(V82))&gt;=1),"RとSの乖離（案分ならUに明記）",IF(AND(G82="対象",L82=""),"Uに制約・代替策・未検証を記載",IF(AND(G82="対象外",L82=""),"対象外の理由・承認者をUに記載",IF(OR(M82="",N82="",O82=""),"V～Xを入力",IF(P82&gt;0,"未記入あり（P列）","OK"))))))))))</f>
        <v>会社名コード未設定（D4）</v>
      </c>
      <c r="R82" s="11" t="str">
        <f aca="false">IF(INDEX(評価項目対応!$M$6:$M$236,$U82)="","",INDEX(評価項目対応!$M$6:$M$236,$U82))</f>
        <v/>
      </c>
      <c r="S82" s="11" t="str">
        <f aca="false">INDEX(評価項目対応!$H$6:$H$236,$U82)</f>
        <v>接続先のSMB・NTLM・暗号化設定は既存証跡を受領する。ChromeOS側のSMBクライアント制御（共有マウント可否・NTLM・NetBIOS探索）は4.09で確認する。</v>
      </c>
      <c r="T82" s="11" t="str">
        <f aca="false">TRIM(IF(INDEX(評価項目対応!$K$6:$K$236,$U82)="","","試験ID: "&amp;INDEX(評価項目対応!$K$6:$K$236,$U82)&amp;"　")&amp;IF(INDEX(評価項目対応!$L$6:$L$236,$U82)="","","判断理由: "&amp;INDEX(評価項目対応!$L$6:$L$236,$U82)))</f>
        <v/>
      </c>
      <c r="U82" s="28" t="n">
        <f aca="false">MATCH($A82,評価項目対応!$A$6:$A$236,0)</f>
        <v>76</v>
      </c>
      <c r="V82" s="28" t="str">
        <f aca="false">IFERROR(VLOOKUP(I82,$X$6:$Y$11,2,FALSE()),"")</f>
        <v/>
      </c>
    </row>
    <row r="83" customFormat="false" ht="78" hidden="false" customHeight="true" outlineLevel="0" collapsed="false">
      <c r="A83" s="13" t="n">
        <v>79</v>
      </c>
      <c r="B83" s="13" t="n">
        <f aca="false">INDEX(評価項目対応!$B$6:$B$236,$U83)</f>
        <v>57</v>
      </c>
      <c r="C83" s="13" t="str">
        <f aca="false">INDEX(評価項目対応!$F$6:$F$236,$U83)</f>
        <v>4.04b</v>
      </c>
      <c r="D83" s="11" t="str">
        <f aca="false">INDEX(評価項目対応!$D$6:$D$236,$U83)</f>
        <v>SMB管理</v>
      </c>
      <c r="E83" s="11" t="str">
        <f aca="false">INDEX(評価項目対応!$E$6:$E$236,$U83)</f>
        <v>SMBv3.1.1の使用を義務付ける。（このバージョンには、事前認証の整合
性、拡張AES暗号化、署名暗号化など、セキュリティ保護が強化されてい
る）</v>
      </c>
      <c r="F83" s="13" t="str">
        <f aca="false">IF($D$4="","",$D$4)</f>
        <v/>
      </c>
      <c r="G83" s="13" t="str">
        <f aca="false">IFERROR(IF(INDEX(評価項目対応!$I$6:$I$236,$U83)="対象","対象",IF(INDEX(評価項目対応!$I$6:$I$236,$U83)="対象外（承認済）","対象外",IF(INDEX(評価項目対応!$I$6:$I$236,$U83)="未確定","n/a",""))),"")</f>
        <v>n/a</v>
      </c>
      <c r="H83" s="25" t="str">
        <f aca="false">IF(ISBLANK(J83),"",IF(J83=5,"Yes",IF(J83=4,"Yes","No")))</f>
        <v/>
      </c>
      <c r="I83" s="18"/>
      <c r="J83" s="26"/>
      <c r="K83" s="18"/>
      <c r="L83" s="18"/>
      <c r="M83" s="11" t="str">
        <f aca="false">IF(INDEX(評価項目対応!$J$6:$J$236,$U83)="","",INDEX(評価項目対応!$J$6:$J$236,$U83))</f>
        <v/>
      </c>
      <c r="N83" s="11" t="str">
        <f aca="false">IF(INDEX(評価項目対応!$N$6:$N$236,$U83)="","",INDEX(評価項目対応!$N$6:$N$236,$U83))</f>
        <v/>
      </c>
      <c r="O83" s="11" t="str">
        <f aca="false">IF(INDEX(評価項目対応!$O$6:$O$236,$U83)="","",INDEX(評価項目対応!$O$6:$O$236,$U83))</f>
        <v/>
      </c>
      <c r="P83" s="27" t="n">
        <f aca="false">COUNTIF(F83:G83,"")+COUNTIF(I83:O83,"")-IF(AND(G83="対象外",K83=""),1,0)</f>
        <v>8</v>
      </c>
      <c r="Q83" s="11" t="str">
        <f aca="false">IF(F83="","会社名コード未設定（D4）",IF(OR(G83="",G83="n/a"),"適用性を確定（評価項目対応I列）",IF(AND(G83="対象外",OR(I83&lt;&gt;"対象外",J83&lt;&gt;"n/a")),"対象外ならR=対象外・S=n/a",IF(AND(G83="対象",OR(I83="対象外",J83="n/a")),"対象なのにR／Sが対象外・n/a",IF(AND(G83="対象",OR(I83="",J83="")),"R・Sを入力",IF(AND(ISNUMBER(J83),ISNUMBER(V83),ABS(N(J83)-N(V83))&gt;=1),"RとSの乖離（案分ならUに明記）",IF(AND(G83="対象",L83=""),"Uに制約・代替策・未検証を記載",IF(AND(G83="対象外",L83=""),"対象外の理由・承認者をUに記載",IF(OR(M83="",N83="",O83=""),"V～Xを入力",IF(P83&gt;0,"未記入あり（P列）","OK"))))))))))</f>
        <v>会社名コード未設定（D4）</v>
      </c>
      <c r="R83" s="11" t="str">
        <f aca="false">IF(INDEX(評価項目対応!$M$6:$M$236,$U83)="","",INDEX(評価項目対応!$M$6:$M$236,$U83))</f>
        <v/>
      </c>
      <c r="S83" s="11" t="str">
        <f aca="false">INDEX(評価項目対応!$H$6:$H$236,$U83)</f>
        <v>接続先のSMB・NTLM・暗号化設定は既存証跡を受領する。ChromeOS側のSMBクライアント制御（共有マウント可否・NTLM・NetBIOS探索）は4.09で確認する。</v>
      </c>
      <c r="T83" s="11" t="str">
        <f aca="false">TRIM(IF(INDEX(評価項目対応!$K$6:$K$236,$U83)="","","試験ID: "&amp;INDEX(評価項目対応!$K$6:$K$236,$U83)&amp;"　")&amp;IF(INDEX(評価項目対応!$L$6:$L$236,$U83)="","","判断理由: "&amp;INDEX(評価項目対応!$L$6:$L$236,$U83)))</f>
        <v/>
      </c>
      <c r="U83" s="28" t="n">
        <f aca="false">MATCH($A83,評価項目対応!$A$6:$A$236,0)</f>
        <v>77</v>
      </c>
      <c r="V83" s="28" t="str">
        <f aca="false">IFERROR(VLOOKUP(I83,$X$6:$Y$11,2,FALSE()),"")</f>
        <v/>
      </c>
    </row>
    <row r="84" customFormat="false" ht="78" hidden="false" customHeight="true" outlineLevel="0" collapsed="false">
      <c r="A84" s="13" t="n">
        <v>80</v>
      </c>
      <c r="B84" s="13" t="n">
        <f aca="false">INDEX(評価項目対応!$B$6:$B$236,$U84)</f>
        <v>58</v>
      </c>
      <c r="C84" s="13" t="str">
        <f aca="false">INDEX(評価項目対応!$F$6:$F$236,$U84)</f>
        <v>4.04b</v>
      </c>
      <c r="D84" s="11" t="str">
        <f aca="false">INDEX(評価項目対応!$D$6:$D$236,$U84)</f>
        <v>SMB管理</v>
      </c>
      <c r="E84" s="11" t="str">
        <f aca="false">INDEX(評価項目対応!$E$6:$E$236,$U84)</f>
        <v>不要なSMB通信をブロックする。</v>
      </c>
      <c r="F84" s="13" t="str">
        <f aca="false">IF($D$4="","",$D$4)</f>
        <v/>
      </c>
      <c r="G84" s="13" t="str">
        <f aca="false">IFERROR(IF(INDEX(評価項目対応!$I$6:$I$236,$U84)="対象","対象",IF(INDEX(評価項目対応!$I$6:$I$236,$U84)="対象外（承認済）","対象外",IF(INDEX(評価項目対応!$I$6:$I$236,$U84)="未確定","n/a",""))),"")</f>
        <v>n/a</v>
      </c>
      <c r="H84" s="25" t="str">
        <f aca="false">IF(ISBLANK(J84),"",IF(J84=5,"Yes",IF(J84=4,"Yes","No")))</f>
        <v/>
      </c>
      <c r="I84" s="18"/>
      <c r="J84" s="26"/>
      <c r="K84" s="18"/>
      <c r="L84" s="18"/>
      <c r="M84" s="11" t="str">
        <f aca="false">IF(INDEX(評価項目対応!$J$6:$J$236,$U84)="","",INDEX(評価項目対応!$J$6:$J$236,$U84))</f>
        <v/>
      </c>
      <c r="N84" s="11" t="str">
        <f aca="false">IF(INDEX(評価項目対応!$N$6:$N$236,$U84)="","",INDEX(評価項目対応!$N$6:$N$236,$U84))</f>
        <v/>
      </c>
      <c r="O84" s="11" t="str">
        <f aca="false">IF(INDEX(評価項目対応!$O$6:$O$236,$U84)="","",INDEX(評価項目対応!$O$6:$O$236,$U84))</f>
        <v/>
      </c>
      <c r="P84" s="27" t="n">
        <f aca="false">COUNTIF(F84:G84,"")+COUNTIF(I84:O84,"")-IF(AND(G84="対象外",K84=""),1,0)</f>
        <v>8</v>
      </c>
      <c r="Q84" s="11" t="str">
        <f aca="false">IF(F84="","会社名コード未設定（D4）",IF(OR(G84="",G84="n/a"),"適用性を確定（評価項目対応I列）",IF(AND(G84="対象外",OR(I84&lt;&gt;"対象外",J84&lt;&gt;"n/a")),"対象外ならR=対象外・S=n/a",IF(AND(G84="対象",OR(I84="対象外",J84="n/a")),"対象なのにR／Sが対象外・n/a",IF(AND(G84="対象",OR(I84="",J84="")),"R・Sを入力",IF(AND(ISNUMBER(J84),ISNUMBER(V84),ABS(N(J84)-N(V84))&gt;=1),"RとSの乖離（案分ならUに明記）",IF(AND(G84="対象",L84=""),"Uに制約・代替策・未検証を記載",IF(AND(G84="対象外",L84=""),"対象外の理由・承認者をUに記載",IF(OR(M84="",N84="",O84=""),"V～Xを入力",IF(P84&gt;0,"未記入あり（P列）","OK"))))))))))</f>
        <v>会社名コード未設定（D4）</v>
      </c>
      <c r="R84" s="11" t="str">
        <f aca="false">IF(INDEX(評価項目対応!$M$6:$M$236,$U84)="","",INDEX(評価項目対応!$M$6:$M$236,$U84))</f>
        <v>4.09</v>
      </c>
      <c r="S84" s="11" t="str">
        <f aca="false">INDEX(評価項目対応!$H$6:$H$236,$U84)</f>
        <v>接続先のSMB・NTLM・暗号化設定は既存証跡を受領する。ChromeOS側のSMBクライアント制御（共有マウント可否・NTLM・NetBIOS探索）は4.09で確認する。 本項目はChromebook側のSMB／NTLM／NetBIOS試験（4.09）も根拠にする。</v>
      </c>
      <c r="T84" s="11" t="str">
        <f aca="false">TRIM(IF(INDEX(評価項目対応!$K$6:$K$236,$U84)="","","試験ID: "&amp;INDEX(評価項目対応!$K$6:$K$236,$U84)&amp;"　")&amp;IF(INDEX(評価項目対応!$L$6:$L$236,$U84)="","","判断理由: "&amp;INDEX(評価項目対応!$L$6:$L$236,$U84)))</f>
        <v/>
      </c>
      <c r="U84" s="28" t="n">
        <f aca="false">MATCH($A84,評価項目対応!$A$6:$A$236,0)</f>
        <v>78</v>
      </c>
      <c r="V84" s="28" t="str">
        <f aca="false">IFERROR(VLOOKUP(I84,$X$6:$Y$11,2,FALSE()),"")</f>
        <v/>
      </c>
    </row>
    <row r="85" customFormat="false" ht="78" hidden="false" customHeight="true" outlineLevel="0" collapsed="false">
      <c r="A85" s="13" t="n">
        <v>81</v>
      </c>
      <c r="B85" s="13" t="n">
        <f aca="false">INDEX(評価項目対応!$B$6:$B$236,$U85)</f>
        <v>59</v>
      </c>
      <c r="C85" s="13" t="str">
        <f aca="false">INDEX(評価項目対応!$F$6:$F$236,$U85)</f>
        <v>4.04b</v>
      </c>
      <c r="D85" s="11" t="str">
        <f aca="false">INDEX(評価項目対応!$D$6:$D$236,$U85)</f>
        <v>SMB管理</v>
      </c>
      <c r="E85" s="11" t="str">
        <f aca="false">INDEX(評価項目対応!$E$6:$E$236,$U85)</f>
        <v>組織ネットワークとの間のSMBの外部アクセスを、インターネットのペリ
メータファイアウォールでインバウンドとアウトバウンドのTCPポート445
をブロックすることでブロックする。</v>
      </c>
      <c r="F85" s="13" t="str">
        <f aca="false">IF($D$4="","",$D$4)</f>
        <v/>
      </c>
      <c r="G85" s="13" t="str">
        <f aca="false">IFERROR(IF(INDEX(評価項目対応!$I$6:$I$236,$U85)="対象","対象",IF(INDEX(評価項目対応!$I$6:$I$236,$U85)="対象外（承認済）","対象外",IF(INDEX(評価項目対応!$I$6:$I$236,$U85)="未確定","n/a",""))),"")</f>
        <v>n/a</v>
      </c>
      <c r="H85" s="25" t="str">
        <f aca="false">IF(ISBLANK(J85),"",IF(J85=5,"Yes",IF(J85=4,"Yes","No")))</f>
        <v/>
      </c>
      <c r="I85" s="18"/>
      <c r="J85" s="26"/>
      <c r="K85" s="18"/>
      <c r="L85" s="18"/>
      <c r="M85" s="11" t="str">
        <f aca="false">IF(INDEX(評価項目対応!$J$6:$J$236,$U85)="","",INDEX(評価項目対応!$J$6:$J$236,$U85))</f>
        <v/>
      </c>
      <c r="N85" s="11" t="str">
        <f aca="false">IF(INDEX(評価項目対応!$N$6:$N$236,$U85)="","",INDEX(評価項目対応!$N$6:$N$236,$U85))</f>
        <v/>
      </c>
      <c r="O85" s="11" t="str">
        <f aca="false">IF(INDEX(評価項目対応!$O$6:$O$236,$U85)="","",INDEX(評価項目対応!$O$6:$O$236,$U85))</f>
        <v/>
      </c>
      <c r="P85" s="27" t="n">
        <f aca="false">COUNTIF(F85:G85,"")+COUNTIF(I85:O85,"")-IF(AND(G85="対象外",K85=""),1,0)</f>
        <v>8</v>
      </c>
      <c r="Q85" s="11" t="str">
        <f aca="false">IF(F85="","会社名コード未設定（D4）",IF(OR(G85="",G85="n/a"),"適用性を確定（評価項目対応I列）",IF(AND(G85="対象外",OR(I85&lt;&gt;"対象外",J85&lt;&gt;"n/a")),"対象外ならR=対象外・S=n/a",IF(AND(G85="対象",OR(I85="対象外",J85="n/a")),"対象なのにR／Sが対象外・n/a",IF(AND(G85="対象",OR(I85="",J85="")),"R・Sを入力",IF(AND(ISNUMBER(J85),ISNUMBER(V85),ABS(N(J85)-N(V85))&gt;=1),"RとSの乖離（案分ならUに明記）",IF(AND(G85="対象",L85=""),"Uに制約・代替策・未検証を記載",IF(AND(G85="対象外",L85=""),"対象外の理由・承認者をUに記載",IF(OR(M85="",N85="",O85=""),"V～Xを入力",IF(P85&gt;0,"未記入あり（P列）","OK"))))))))))</f>
        <v>会社名コード未設定（D4）</v>
      </c>
      <c r="R85" s="11" t="str">
        <f aca="false">IF(INDEX(評価項目対応!$M$6:$M$236,$U85)="","",INDEX(評価項目対応!$M$6:$M$236,$U85))</f>
        <v/>
      </c>
      <c r="S85" s="11" t="str">
        <f aca="false">INDEX(評価項目対応!$H$6:$H$236,$U85)</f>
        <v>接続先のSMB・NTLM・暗号化設定は既存証跡を受領する。ChromeOS側のSMBクライアント制御（共有マウント可否・NTLM・NetBIOS探索）は4.09で確認する。</v>
      </c>
      <c r="T85" s="11" t="str">
        <f aca="false">TRIM(IF(INDEX(評価項目対応!$K$6:$K$236,$U85)="","","試験ID: "&amp;INDEX(評価項目対応!$K$6:$K$236,$U85)&amp;"　")&amp;IF(INDEX(評価項目対応!$L$6:$L$236,$U85)="","","判断理由: "&amp;INDEX(評価項目対応!$L$6:$L$236,$U85)))</f>
        <v/>
      </c>
      <c r="U85" s="28" t="n">
        <f aca="false">MATCH($A85,評価項目対応!$A$6:$A$236,0)</f>
        <v>79</v>
      </c>
      <c r="V85" s="28" t="str">
        <f aca="false">IFERROR(VLOOKUP(I85,$X$6:$Y$11,2,FALSE()),"")</f>
        <v/>
      </c>
    </row>
    <row r="86" customFormat="false" ht="78" hidden="false" customHeight="true" outlineLevel="0" collapsed="false">
      <c r="A86" s="13" t="n">
        <v>82</v>
      </c>
      <c r="B86" s="13" t="n">
        <f aca="false">INDEX(評価項目対応!$B$6:$B$236,$U86)</f>
        <v>60</v>
      </c>
      <c r="C86" s="13" t="str">
        <f aca="false">INDEX(評価項目対応!$F$6:$F$236,$U86)</f>
        <v>4.04b</v>
      </c>
      <c r="D86" s="11" t="str">
        <f aca="false">INDEX(評価項目対応!$D$6:$D$236,$U86)</f>
        <v>SMB管理</v>
      </c>
      <c r="E86" s="11" t="str">
        <f aca="false">INDEX(評価項目対応!$E$6:$E$236,$U86)</f>
        <v>TCPポート137、138、139をブロックする。</v>
      </c>
      <c r="F86" s="13" t="str">
        <f aca="false">IF($D$4="","",$D$4)</f>
        <v/>
      </c>
      <c r="G86" s="13" t="str">
        <f aca="false">IFERROR(IF(INDEX(評価項目対応!$I$6:$I$236,$U86)="対象","対象",IF(INDEX(評価項目対応!$I$6:$I$236,$U86)="対象外（承認済）","対象外",IF(INDEX(評価項目対応!$I$6:$I$236,$U86)="未確定","n/a",""))),"")</f>
        <v>n/a</v>
      </c>
      <c r="H86" s="25" t="str">
        <f aca="false">IF(ISBLANK(J86),"",IF(J86=5,"Yes",IF(J86=4,"Yes","No")))</f>
        <v/>
      </c>
      <c r="I86" s="18"/>
      <c r="J86" s="26"/>
      <c r="K86" s="18"/>
      <c r="L86" s="18"/>
      <c r="M86" s="11" t="str">
        <f aca="false">IF(INDEX(評価項目対応!$J$6:$J$236,$U86)="","",INDEX(評価項目対応!$J$6:$J$236,$U86))</f>
        <v/>
      </c>
      <c r="N86" s="11" t="str">
        <f aca="false">IF(INDEX(評価項目対応!$N$6:$N$236,$U86)="","",INDEX(評価項目対応!$N$6:$N$236,$U86))</f>
        <v/>
      </c>
      <c r="O86" s="11" t="str">
        <f aca="false">IF(INDEX(評価項目対応!$O$6:$O$236,$U86)="","",INDEX(評価項目対応!$O$6:$O$236,$U86))</f>
        <v/>
      </c>
      <c r="P86" s="27" t="n">
        <f aca="false">COUNTIF(F86:G86,"")+COUNTIF(I86:O86,"")-IF(AND(G86="対象外",K86=""),1,0)</f>
        <v>8</v>
      </c>
      <c r="Q86" s="11" t="str">
        <f aca="false">IF(F86="","会社名コード未設定（D4）",IF(OR(G86="",G86="n/a"),"適用性を確定（評価項目対応I列）",IF(AND(G86="対象外",OR(I86&lt;&gt;"対象外",J86&lt;&gt;"n/a")),"対象外ならR=対象外・S=n/a",IF(AND(G86="対象",OR(I86="対象外",J86="n/a")),"対象なのにR／Sが対象外・n/a",IF(AND(G86="対象",OR(I86="",J86="")),"R・Sを入力",IF(AND(ISNUMBER(J86),ISNUMBER(V86),ABS(N(J86)-N(V86))&gt;=1),"RとSの乖離（案分ならUに明記）",IF(AND(G86="対象",L86=""),"Uに制約・代替策・未検証を記載",IF(AND(G86="対象外",L86=""),"対象外の理由・承認者をUに記載",IF(OR(M86="",N86="",O86=""),"V～Xを入力",IF(P86&gt;0,"未記入あり（P列）","OK"))))))))))</f>
        <v>会社名コード未設定（D4）</v>
      </c>
      <c r="R86" s="11" t="str">
        <f aca="false">IF(INDEX(評価項目対応!$M$6:$M$236,$U86)="","",INDEX(評価項目対応!$M$6:$M$236,$U86))</f>
        <v>4.09</v>
      </c>
      <c r="S86" s="11" t="str">
        <f aca="false">INDEX(評価項目対応!$H$6:$H$236,$U86)</f>
        <v>接続先のSMB・NTLM・暗号化設定は既存証跡を受領する。ChromeOS側のSMBクライアント制御（共有マウント可否・NTLM・NetBIOS探索）は4.09で確認する。 本項目はChromebook側のSMB／NTLM／NetBIOS試験（4.09）も根拠にする。</v>
      </c>
      <c r="T86" s="11" t="str">
        <f aca="false">TRIM(IF(INDEX(評価項目対応!$K$6:$K$236,$U86)="","","試験ID: "&amp;INDEX(評価項目対応!$K$6:$K$236,$U86)&amp;"　")&amp;IF(INDEX(評価項目対応!$L$6:$L$236,$U86)="","","判断理由: "&amp;INDEX(評価項目対応!$L$6:$L$236,$U86)))</f>
        <v/>
      </c>
      <c r="U86" s="28" t="n">
        <f aca="false">MATCH($A86,評価項目対応!$A$6:$A$236,0)</f>
        <v>80</v>
      </c>
      <c r="V86" s="28" t="str">
        <f aca="false">IFERROR(VLOOKUP(I86,$X$6:$Y$11,2,FALSE()),"")</f>
        <v/>
      </c>
    </row>
    <row r="87" customFormat="false" ht="78" hidden="false" customHeight="true" outlineLevel="0" collapsed="false">
      <c r="A87" s="13" t="n">
        <v>83</v>
      </c>
      <c r="B87" s="13" t="n">
        <f aca="false">INDEX(評価項目対応!$B$6:$B$236,$U87)</f>
        <v>61</v>
      </c>
      <c r="C87" s="13" t="str">
        <f aca="false">INDEX(評価項目対応!$F$6:$F$236,$U87)</f>
        <v>4.04b</v>
      </c>
      <c r="D87" s="11" t="str">
        <f aca="false">INDEX(評価項目対応!$D$6:$D$236,$U87)</f>
        <v>SMB管理</v>
      </c>
      <c r="E87" s="11" t="str">
        <f aca="false">INDEX(評価項目対応!$E$6:$E$236,$U87)</f>
        <v>可能な限りSMBv3に更新する。
（SMBv2以降ではNetBIOSデータグラムを使用しないため、SMBv2の使用を
継続しても大きなリスクはなく、必要に応じて使用できる。）</v>
      </c>
      <c r="F87" s="13" t="str">
        <f aca="false">IF($D$4="","",$D$4)</f>
        <v/>
      </c>
      <c r="G87" s="13" t="str">
        <f aca="false">IFERROR(IF(INDEX(評価項目対応!$I$6:$I$236,$U87)="対象","対象",IF(INDEX(評価項目対応!$I$6:$I$236,$U87)="対象外（承認済）","対象外",IF(INDEX(評価項目対応!$I$6:$I$236,$U87)="未確定","n/a",""))),"")</f>
        <v>n/a</v>
      </c>
      <c r="H87" s="25" t="str">
        <f aca="false">IF(ISBLANK(J87),"",IF(J87=5,"Yes",IF(J87=4,"Yes","No")))</f>
        <v/>
      </c>
      <c r="I87" s="18"/>
      <c r="J87" s="26"/>
      <c r="K87" s="18"/>
      <c r="L87" s="18"/>
      <c r="M87" s="11" t="str">
        <f aca="false">IF(INDEX(評価項目対応!$J$6:$J$236,$U87)="","",INDEX(評価項目対応!$J$6:$J$236,$U87))</f>
        <v/>
      </c>
      <c r="N87" s="11" t="str">
        <f aca="false">IF(INDEX(評価項目対応!$N$6:$N$236,$U87)="","",INDEX(評価項目対応!$N$6:$N$236,$U87))</f>
        <v/>
      </c>
      <c r="O87" s="11" t="str">
        <f aca="false">IF(INDEX(評価項目対応!$O$6:$O$236,$U87)="","",INDEX(評価項目対応!$O$6:$O$236,$U87))</f>
        <v/>
      </c>
      <c r="P87" s="27" t="n">
        <f aca="false">COUNTIF(F87:G87,"")+COUNTIF(I87:O87,"")-IF(AND(G87="対象外",K87=""),1,0)</f>
        <v>8</v>
      </c>
      <c r="Q87" s="11" t="str">
        <f aca="false">IF(F87="","会社名コード未設定（D4）",IF(OR(G87="",G87="n/a"),"適用性を確定（評価項目対応I列）",IF(AND(G87="対象外",OR(I87&lt;&gt;"対象外",J87&lt;&gt;"n/a")),"対象外ならR=対象外・S=n/a",IF(AND(G87="対象",OR(I87="対象外",J87="n/a")),"対象なのにR／Sが対象外・n/a",IF(AND(G87="対象",OR(I87="",J87="")),"R・Sを入力",IF(AND(ISNUMBER(J87),ISNUMBER(V87),ABS(N(J87)-N(V87))&gt;=1),"RとSの乖離（案分ならUに明記）",IF(AND(G87="対象",L87=""),"Uに制約・代替策・未検証を記載",IF(AND(G87="対象外",L87=""),"対象外の理由・承認者をUに記載",IF(OR(M87="",N87="",O87=""),"V～Xを入力",IF(P87&gt;0,"未記入あり（P列）","OK"))))))))))</f>
        <v>会社名コード未設定（D4）</v>
      </c>
      <c r="R87" s="11" t="str">
        <f aca="false">IF(INDEX(評価項目対応!$M$6:$M$236,$U87)="","",INDEX(評価項目対応!$M$6:$M$236,$U87))</f>
        <v/>
      </c>
      <c r="S87" s="11" t="str">
        <f aca="false">INDEX(評価項目対応!$H$6:$H$236,$U87)</f>
        <v>接続先のSMB・NTLM・暗号化設定は既存証跡を受領する。ChromeOS側のSMBクライアント制御（共有マウント可否・NTLM・NetBIOS探索）は4.09で確認する。</v>
      </c>
      <c r="T87" s="11" t="str">
        <f aca="false">TRIM(IF(INDEX(評価項目対応!$K$6:$K$236,$U87)="","","試験ID: "&amp;INDEX(評価項目対応!$K$6:$K$236,$U87)&amp;"　")&amp;IF(INDEX(評価項目対応!$L$6:$L$236,$U87)="","","判断理由: "&amp;INDEX(評価項目対応!$L$6:$L$236,$U87)))</f>
        <v/>
      </c>
      <c r="U87" s="28" t="n">
        <f aca="false">MATCH($A87,評価項目対応!$A$6:$A$236,0)</f>
        <v>81</v>
      </c>
      <c r="V87" s="28" t="str">
        <f aca="false">IFERROR(VLOOKUP(I87,$X$6:$Y$11,2,FALSE()),"")</f>
        <v/>
      </c>
    </row>
    <row r="88" customFormat="false" ht="78" hidden="false" customHeight="true" outlineLevel="0" collapsed="false">
      <c r="A88" s="13" t="n">
        <v>84</v>
      </c>
      <c r="B88" s="13" t="n">
        <f aca="false">INDEX(評価項目対応!$B$6:$B$236,$U88)</f>
        <v>62</v>
      </c>
      <c r="C88" s="13" t="str">
        <f aca="false">INDEX(評価項目対応!$F$6:$F$236,$U88)</f>
        <v>4.04b</v>
      </c>
      <c r="D88" s="11" t="str">
        <f aca="false">INDEX(評価項目対応!$D$6:$D$236,$U88)</f>
        <v>SMB管理</v>
      </c>
      <c r="E88" s="11" t="str">
        <f aca="false">INDEX(評価項目対応!$E$6:$E$236,$U88)</f>
        <v>内部SMB通信をブロックまたは制限して、通信が必要なシステム間でのみ
行われるようにする。</v>
      </c>
      <c r="F88" s="13" t="str">
        <f aca="false">IF($D$4="","",$D$4)</f>
        <v/>
      </c>
      <c r="G88" s="13" t="str">
        <f aca="false">IFERROR(IF(INDEX(評価項目対応!$I$6:$I$236,$U88)="対象","対象",IF(INDEX(評価項目対応!$I$6:$I$236,$U88)="対象外（承認済）","対象外",IF(INDEX(評価項目対応!$I$6:$I$236,$U88)="未確定","n/a",""))),"")</f>
        <v>n/a</v>
      </c>
      <c r="H88" s="25" t="str">
        <f aca="false">IF(ISBLANK(J88),"",IF(J88=5,"Yes",IF(J88=4,"Yes","No")))</f>
        <v/>
      </c>
      <c r="I88" s="18"/>
      <c r="J88" s="26"/>
      <c r="K88" s="18"/>
      <c r="L88" s="18"/>
      <c r="M88" s="11" t="str">
        <f aca="false">IF(INDEX(評価項目対応!$J$6:$J$236,$U88)="","",INDEX(評価項目対応!$J$6:$J$236,$U88))</f>
        <v/>
      </c>
      <c r="N88" s="11" t="str">
        <f aca="false">IF(INDEX(評価項目対応!$N$6:$N$236,$U88)="","",INDEX(評価項目対応!$N$6:$N$236,$U88))</f>
        <v/>
      </c>
      <c r="O88" s="11" t="str">
        <f aca="false">IF(INDEX(評価項目対応!$O$6:$O$236,$U88)="","",INDEX(評価項目対応!$O$6:$O$236,$U88))</f>
        <v/>
      </c>
      <c r="P88" s="27" t="n">
        <f aca="false">COUNTIF(F88:G88,"")+COUNTIF(I88:O88,"")-IF(AND(G88="対象外",K88=""),1,0)</f>
        <v>8</v>
      </c>
      <c r="Q88" s="11" t="str">
        <f aca="false">IF(F88="","会社名コード未設定（D4）",IF(OR(G88="",G88="n/a"),"適用性を確定（評価項目対応I列）",IF(AND(G88="対象外",OR(I88&lt;&gt;"対象外",J88&lt;&gt;"n/a")),"対象外ならR=対象外・S=n/a",IF(AND(G88="対象",OR(I88="対象外",J88="n/a")),"対象なのにR／Sが対象外・n/a",IF(AND(G88="対象",OR(I88="",J88="")),"R・Sを入力",IF(AND(ISNUMBER(J88),ISNUMBER(V88),ABS(N(J88)-N(V88))&gt;=1),"RとSの乖離（案分ならUに明記）",IF(AND(G88="対象",L88=""),"Uに制約・代替策・未検証を記載",IF(AND(G88="対象外",L88=""),"対象外の理由・承認者をUに記載",IF(OR(M88="",N88="",O88=""),"V～Xを入力",IF(P88&gt;0,"未記入あり（P列）","OK"))))))))))</f>
        <v>会社名コード未設定（D4）</v>
      </c>
      <c r="R88" s="11" t="str">
        <f aca="false">IF(INDEX(評価項目対応!$M$6:$M$236,$U88)="","",INDEX(評価項目対応!$M$6:$M$236,$U88))</f>
        <v>4.09</v>
      </c>
      <c r="S88" s="11" t="str">
        <f aca="false">INDEX(評価項目対応!$H$6:$H$236,$U88)</f>
        <v>接続先のSMB・NTLM・暗号化設定は既存証跡を受領する。ChromeOS側のSMBクライアント制御（共有マウント可否・NTLM・NetBIOS探索）は4.09で確認する。 本項目はChromebook側のSMB／NTLM／NetBIOS試験（4.09）も根拠にする。</v>
      </c>
      <c r="T88" s="11" t="str">
        <f aca="false">TRIM(IF(INDEX(評価項目対応!$K$6:$K$236,$U88)="","","試験ID: "&amp;INDEX(評価項目対応!$K$6:$K$236,$U88)&amp;"　")&amp;IF(INDEX(評価項目対応!$L$6:$L$236,$U88)="","","判断理由: "&amp;INDEX(評価項目対応!$L$6:$L$236,$U88)))</f>
        <v/>
      </c>
      <c r="U88" s="28" t="n">
        <f aca="false">MATCH($A88,評価項目対応!$A$6:$A$236,0)</f>
        <v>82</v>
      </c>
      <c r="V88" s="28" t="str">
        <f aca="false">IFERROR(VLOOKUP(I88,$X$6:$Y$11,2,FALSE()),"")</f>
        <v/>
      </c>
    </row>
    <row r="89" customFormat="false" ht="120" hidden="false" customHeight="true" outlineLevel="0" collapsed="false">
      <c r="A89" s="13" t="n">
        <v>85</v>
      </c>
      <c r="B89" s="13" t="n">
        <f aca="false">INDEX(評価項目対応!$B$6:$B$236,$U89)</f>
        <v>63</v>
      </c>
      <c r="C89" s="13" t="str">
        <f aca="false">INDEX(評価項目対応!$F$6:$F$236,$U89)</f>
        <v>4.04b</v>
      </c>
      <c r="D89" s="11" t="str">
        <f aca="false">INDEX(評価項目対応!$D$6:$D$236,$U89)</f>
        <v>SMB管理</v>
      </c>
      <c r="E89" s="11" t="str">
        <f aca="false">INDEX(評価項目対応!$E$6:$E$236,$U89)</f>
        <v>悪意のある攻撃者が組織のMicrosoft Active Directoryドメインのメンバ
ーでないシステムを検出してSMB経由の通信にアクセスするのを防ぐため
に、横方向のSMB通信にKerberosベースのIPセキュリティ（IPsec）を要求
するようにMicrosoft WindowsおよびWindows Serverシステムを構成する
。</v>
      </c>
      <c r="F89" s="13" t="str">
        <f aca="false">IF($D$4="","",$D$4)</f>
        <v/>
      </c>
      <c r="G89" s="13" t="str">
        <f aca="false">IFERROR(IF(INDEX(評価項目対応!$I$6:$I$236,$U89)="対象","対象",IF(INDEX(評価項目対応!$I$6:$I$236,$U89)="対象外（承認済）","対象外",IF(INDEX(評価項目対応!$I$6:$I$236,$U89)="未確定","n/a",""))),"")</f>
        <v>n/a</v>
      </c>
      <c r="H89" s="25" t="str">
        <f aca="false">IF(ISBLANK(J89),"",IF(J89=5,"Yes",IF(J89=4,"Yes","No")))</f>
        <v/>
      </c>
      <c r="I89" s="18"/>
      <c r="J89" s="26"/>
      <c r="K89" s="18"/>
      <c r="L89" s="18"/>
      <c r="M89" s="11" t="str">
        <f aca="false">IF(INDEX(評価項目対応!$J$6:$J$236,$U89)="","",INDEX(評価項目対応!$J$6:$J$236,$U89))</f>
        <v/>
      </c>
      <c r="N89" s="11" t="str">
        <f aca="false">IF(INDEX(評価項目対応!$N$6:$N$236,$U89)="","",INDEX(評価項目対応!$N$6:$N$236,$U89))</f>
        <v/>
      </c>
      <c r="O89" s="11" t="str">
        <f aca="false">IF(INDEX(評価項目対応!$O$6:$O$236,$U89)="","",INDEX(評価項目対応!$O$6:$O$236,$U89))</f>
        <v/>
      </c>
      <c r="P89" s="27" t="n">
        <f aca="false">COUNTIF(F89:G89,"")+COUNTIF(I89:O89,"")-IF(AND(G89="対象外",K89=""),1,0)</f>
        <v>8</v>
      </c>
      <c r="Q89" s="11" t="str">
        <f aca="false">IF(F89="","会社名コード未設定（D4）",IF(OR(G89="",G89="n/a"),"適用性を確定（評価項目対応I列）",IF(AND(G89="対象外",OR(I89&lt;&gt;"対象外",J89&lt;&gt;"n/a")),"対象外ならR=対象外・S=n/a",IF(AND(G89="対象",OR(I89="対象外",J89="n/a")),"対象なのにR／Sが対象外・n/a",IF(AND(G89="対象",OR(I89="",J89="")),"R・Sを入力",IF(AND(ISNUMBER(J89),ISNUMBER(V89),ABS(N(J89)-N(V89))&gt;=1),"RとSの乖離（案分ならUに明記）",IF(AND(G89="対象",L89=""),"Uに制約・代替策・未検証を記載",IF(AND(G89="対象外",L89=""),"対象外の理由・承認者をUに記載",IF(OR(M89="",N89="",O89=""),"V～Xを入力",IF(P89&gt;0,"未記入あり（P列）","OK"))))))))))</f>
        <v>会社名コード未設定（D4）</v>
      </c>
      <c r="R89" s="11" t="str">
        <f aca="false">IF(INDEX(評価項目対応!$M$6:$M$236,$U89)="","",INDEX(評価項目対応!$M$6:$M$236,$U89))</f>
        <v/>
      </c>
      <c r="S89" s="11" t="str">
        <f aca="false">INDEX(評価項目対応!$H$6:$H$236,$U89)</f>
        <v>接続先のSMB・NTLM・暗号化設定は既存証跡を受領する。ChromeOS側のSMBクライアント制御（共有マウント可否・NTLM・NetBIOS探索）は4.09で確認する。</v>
      </c>
      <c r="T89" s="11" t="str">
        <f aca="false">TRIM(IF(INDEX(評価項目対応!$K$6:$K$236,$U89)="","","試験ID: "&amp;INDEX(評価項目対応!$K$6:$K$236,$U89)&amp;"　")&amp;IF(INDEX(評価項目対応!$L$6:$L$236,$U89)="","","判断理由: "&amp;INDEX(評価項目対応!$L$6:$L$236,$U89)))</f>
        <v/>
      </c>
      <c r="U89" s="28" t="n">
        <f aca="false">MATCH($A89,評価項目対応!$A$6:$A$236,0)</f>
        <v>83</v>
      </c>
      <c r="V89" s="28" t="str">
        <f aca="false">IFERROR(VLOOKUP(I89,$X$6:$Y$11,2,FALSE()),"")</f>
        <v/>
      </c>
    </row>
    <row r="90" customFormat="false" ht="105.75" hidden="false" customHeight="true" outlineLevel="0" collapsed="false">
      <c r="A90" s="13" t="n">
        <v>86</v>
      </c>
      <c r="B90" s="13" t="n">
        <f aca="false">INDEX(評価項目対応!$B$6:$B$236,$U90)</f>
        <v>64</v>
      </c>
      <c r="C90" s="13" t="str">
        <f aca="false">INDEX(評価項目対応!$F$6:$F$236,$U90)</f>
        <v>4.04b</v>
      </c>
      <c r="D90" s="11" t="str">
        <f aca="false">INDEX(評価項目対応!$D$6:$D$236,$U90)</f>
        <v>SMB管理</v>
      </c>
      <c r="E90" s="11" t="str">
        <f aca="false">INDEX(評価項目対応!$E$6:$E$236,$U90)</f>
        <v>ファイルまたは名前付きパイプのアプリケーションプログラミングインタ
ーフェース（API）へのリモートアクセスが不要な場合は、Microsoft Win
dowsおよびWindows ServerデバイスでSMBサーバーサービス（「サーバー
」）を無効にする。</v>
      </c>
      <c r="F90" s="13" t="str">
        <f aca="false">IF($D$4="","",$D$4)</f>
        <v/>
      </c>
      <c r="G90" s="13" t="str">
        <f aca="false">IFERROR(IF(INDEX(評価項目対応!$I$6:$I$236,$U90)="対象","対象",IF(INDEX(評価項目対応!$I$6:$I$236,$U90)="対象外（承認済）","対象外",IF(INDEX(評価項目対応!$I$6:$I$236,$U90)="未確定","n/a",""))),"")</f>
        <v>n/a</v>
      </c>
      <c r="H90" s="25" t="str">
        <f aca="false">IF(ISBLANK(J90),"",IF(J90=5,"Yes",IF(J90=4,"Yes","No")))</f>
        <v/>
      </c>
      <c r="I90" s="18"/>
      <c r="J90" s="26"/>
      <c r="K90" s="18"/>
      <c r="L90" s="18"/>
      <c r="M90" s="11" t="str">
        <f aca="false">IF(INDEX(評価項目対応!$J$6:$J$236,$U90)="","",INDEX(評価項目対応!$J$6:$J$236,$U90))</f>
        <v/>
      </c>
      <c r="N90" s="11" t="str">
        <f aca="false">IF(INDEX(評価項目対応!$N$6:$N$236,$U90)="","",INDEX(評価項目対応!$N$6:$N$236,$U90))</f>
        <v/>
      </c>
      <c r="O90" s="11" t="str">
        <f aca="false">IF(INDEX(評価項目対応!$O$6:$O$236,$U90)="","",INDEX(評価項目対応!$O$6:$O$236,$U90))</f>
        <v/>
      </c>
      <c r="P90" s="27" t="n">
        <f aca="false">COUNTIF(F90:G90,"")+COUNTIF(I90:O90,"")-IF(AND(G90="対象外",K90=""),1,0)</f>
        <v>8</v>
      </c>
      <c r="Q90" s="11" t="str">
        <f aca="false">IF(F90="","会社名コード未設定（D4）",IF(OR(G90="",G90="n/a"),"適用性を確定（評価項目対応I列）",IF(AND(G90="対象外",OR(I90&lt;&gt;"対象外",J90&lt;&gt;"n/a")),"対象外ならR=対象外・S=n/a",IF(AND(G90="対象",OR(I90="対象外",J90="n/a")),"対象なのにR／Sが対象外・n/a",IF(AND(G90="対象",OR(I90="",J90="")),"R・Sを入力",IF(AND(ISNUMBER(J90),ISNUMBER(V90),ABS(N(J90)-N(V90))&gt;=1),"RとSの乖離（案分ならUに明記）",IF(AND(G90="対象",L90=""),"Uに制約・代替策・未検証を記載",IF(AND(G90="対象外",L90=""),"対象外の理由・承認者をUに記載",IF(OR(M90="",N90="",O90=""),"V～Xを入力",IF(P90&gt;0,"未記入あり（P列）","OK"))))))))))</f>
        <v>会社名コード未設定（D4）</v>
      </c>
      <c r="R90" s="11" t="str">
        <f aca="false">IF(INDEX(評価項目対応!$M$6:$M$236,$U90)="","",INDEX(評価項目対応!$M$6:$M$236,$U90))</f>
        <v/>
      </c>
      <c r="S90" s="11" t="str">
        <f aca="false">INDEX(評価項目対応!$H$6:$H$236,$U90)</f>
        <v>接続先のSMB・NTLM・暗号化設定は既存証跡を受領する。ChromeOS側のSMBクライアント制御（共有マウント可否・NTLM・NetBIOS探索）は4.09で確認する。</v>
      </c>
      <c r="T90" s="11" t="str">
        <f aca="false">TRIM(IF(INDEX(評価項目対応!$K$6:$K$236,$U90)="","","試験ID: "&amp;INDEX(評価項目対応!$K$6:$K$236,$U90)&amp;"　")&amp;IF(INDEX(評価項目対応!$L$6:$L$236,$U90)="","","判断理由: "&amp;INDEX(評価項目対応!$L$6:$L$236,$U90)))</f>
        <v/>
      </c>
      <c r="U90" s="28" t="n">
        <f aca="false">MATCH($A90,評価項目対応!$A$6:$A$236,0)</f>
        <v>84</v>
      </c>
      <c r="V90" s="28" t="str">
        <f aca="false">IFERROR(VLOOKUP(I90,$X$6:$Y$11,2,FALSE()),"")</f>
        <v/>
      </c>
    </row>
    <row r="91" customFormat="false" ht="78" hidden="false" customHeight="true" outlineLevel="0" collapsed="false">
      <c r="A91" s="13" t="n">
        <v>87</v>
      </c>
      <c r="B91" s="13" t="n">
        <f aca="false">INDEX(評価項目対応!$B$6:$B$236,$U91)</f>
        <v>69</v>
      </c>
      <c r="C91" s="13" t="str">
        <f aca="false">INDEX(評価項目対応!$F$6:$F$236,$U91)</f>
        <v>4.04b</v>
      </c>
      <c r="D91" s="11" t="str">
        <f aca="false">INDEX(評価項目対応!$D$6:$D$236,$U91)</f>
        <v>SMB管理</v>
      </c>
      <c r="E91" s="11" t="str">
        <f aca="false">INDEX(評価項目対応!$E$6:$E$236,$U91)</f>
        <v>Microsoft Windows 10、Windows Server 2016 以降の OS は、SYSVOL お
よび NETLOGON 共有を介した Microsoft Active Directory ドメインへの
接続に対して自動的に UNC をハードニングする。</v>
      </c>
      <c r="F91" s="13" t="str">
        <f aca="false">IF($D$4="","",$D$4)</f>
        <v/>
      </c>
      <c r="G91" s="13" t="str">
        <f aca="false">IFERROR(IF(INDEX(評価項目対応!$I$6:$I$236,$U91)="対象","対象",IF(INDEX(評価項目対応!$I$6:$I$236,$U91)="対象外（承認済）","対象外",IF(INDEX(評価項目対応!$I$6:$I$236,$U91)="未確定","n/a",""))),"")</f>
        <v>n/a</v>
      </c>
      <c r="H91" s="25" t="str">
        <f aca="false">IF(ISBLANK(J91),"",IF(J91=5,"Yes",IF(J91=4,"Yes","No")))</f>
        <v/>
      </c>
      <c r="I91" s="18"/>
      <c r="J91" s="26"/>
      <c r="K91" s="18"/>
      <c r="L91" s="18"/>
      <c r="M91" s="11" t="str">
        <f aca="false">IF(INDEX(評価項目対応!$J$6:$J$236,$U91)="","",INDEX(評価項目対応!$J$6:$J$236,$U91))</f>
        <v/>
      </c>
      <c r="N91" s="11" t="str">
        <f aca="false">IF(INDEX(評価項目対応!$N$6:$N$236,$U91)="","",INDEX(評価項目対応!$N$6:$N$236,$U91))</f>
        <v/>
      </c>
      <c r="O91" s="11" t="str">
        <f aca="false">IF(INDEX(評価項目対応!$O$6:$O$236,$U91)="","",INDEX(評価項目対応!$O$6:$O$236,$U91))</f>
        <v/>
      </c>
      <c r="P91" s="27" t="n">
        <f aca="false">COUNTIF(F91:G91,"")+COUNTIF(I91:O91,"")-IF(AND(G91="対象外",K91=""),1,0)</f>
        <v>8</v>
      </c>
      <c r="Q91" s="11" t="str">
        <f aca="false">IF(F91="","会社名コード未設定（D4）",IF(OR(G91="",G91="n/a"),"適用性を確定（評価項目対応I列）",IF(AND(G91="対象外",OR(I91&lt;&gt;"対象外",J91&lt;&gt;"n/a")),"対象外ならR=対象外・S=n/a",IF(AND(G91="対象",OR(I91="対象外",J91="n/a")),"対象なのにR／Sが対象外・n/a",IF(AND(G91="対象",OR(I91="",J91="")),"R・Sを入力",IF(AND(ISNUMBER(J91),ISNUMBER(V91),ABS(N(J91)-N(V91))&gt;=1),"RとSの乖離（案分ならUに明記）",IF(AND(G91="対象",L91=""),"Uに制約・代替策・未検証を記載",IF(AND(G91="対象外",L91=""),"対象外の理由・承認者をUに記載",IF(OR(M91="",N91="",O91=""),"V～Xを入力",IF(P91&gt;0,"未記入あり（P列）","OK"))))))))))</f>
        <v>会社名コード未設定（D4）</v>
      </c>
      <c r="R91" s="11" t="str">
        <f aca="false">IF(INDEX(評価項目対応!$M$6:$M$236,$U91)="","",INDEX(評価項目対応!$M$6:$M$236,$U91))</f>
        <v/>
      </c>
      <c r="S91" s="11" t="str">
        <f aca="false">INDEX(評価項目対応!$H$6:$H$236,$U91)</f>
        <v>接続先のSMB・NTLM・暗号化設定は既存証跡を受領する。ChromeOS側のSMBクライアント制御（共有マウント可否・NTLM・NetBIOS探索）は4.09で確認する。</v>
      </c>
      <c r="T91" s="11" t="str">
        <f aca="false">TRIM(IF(INDEX(評価項目対応!$K$6:$K$236,$U91)="","","試験ID: "&amp;INDEX(評価項目対応!$K$6:$K$236,$U91)&amp;"　")&amp;IF(INDEX(評価項目対応!$L$6:$L$236,$U91)="","","判断理由: "&amp;INDEX(評価項目対応!$L$6:$L$236,$U91)))</f>
        <v/>
      </c>
      <c r="U91" s="28" t="n">
        <f aca="false">MATCH($A91,評価項目対応!$A$6:$A$236,0)</f>
        <v>85</v>
      </c>
      <c r="V91" s="28" t="str">
        <f aca="false">IFERROR(VLOOKUP(I91,$X$6:$Y$11,2,FALSE()),"")</f>
        <v/>
      </c>
    </row>
    <row r="92" customFormat="false" ht="49.5" hidden="false" customHeight="true" outlineLevel="0" collapsed="false">
      <c r="A92" s="13" t="n">
        <v>88</v>
      </c>
      <c r="B92" s="13" t="n">
        <f aca="false">INDEX(評価項目対応!$B$6:$B$236,$U92)</f>
        <v>70</v>
      </c>
      <c r="C92" s="13" t="str">
        <f aca="false">INDEX(評価項目対応!$F$6:$F$236,$U92)</f>
        <v>4.04b</v>
      </c>
      <c r="D92" s="11" t="str">
        <f aca="false">INDEX(評価項目対応!$D$6:$D$236,$U92)</f>
        <v>SMB管理</v>
      </c>
      <c r="E92" s="11" t="str">
        <f aca="false">INDEX(評価項目対応!$E$6:$E$236,$U92)</f>
        <v>SMB over QUIC（Googl開発の高効率トランスポート層プロトコル）を使用
する。</v>
      </c>
      <c r="F92" s="13" t="str">
        <f aca="false">IF($D$4="","",$D$4)</f>
        <v/>
      </c>
      <c r="G92" s="13" t="str">
        <f aca="false">IFERROR(IF(INDEX(評価項目対応!$I$6:$I$236,$U92)="対象","対象",IF(INDEX(評価項目対応!$I$6:$I$236,$U92)="対象外（承認済）","対象外",IF(INDEX(評価項目対応!$I$6:$I$236,$U92)="未確定","n/a",""))),"")</f>
        <v>n/a</v>
      </c>
      <c r="H92" s="25" t="str">
        <f aca="false">IF(ISBLANK(J92),"",IF(J92=5,"Yes",IF(J92=4,"Yes","No")))</f>
        <v/>
      </c>
      <c r="I92" s="18"/>
      <c r="J92" s="26"/>
      <c r="K92" s="18"/>
      <c r="L92" s="18"/>
      <c r="M92" s="11" t="str">
        <f aca="false">IF(INDEX(評価項目対応!$J$6:$J$236,$U92)="","",INDEX(評価項目対応!$J$6:$J$236,$U92))</f>
        <v/>
      </c>
      <c r="N92" s="11" t="str">
        <f aca="false">IF(INDEX(評価項目対応!$N$6:$N$236,$U92)="","",INDEX(評価項目対応!$N$6:$N$236,$U92))</f>
        <v/>
      </c>
      <c r="O92" s="11" t="str">
        <f aca="false">IF(INDEX(評価項目対応!$O$6:$O$236,$U92)="","",INDEX(評価項目対応!$O$6:$O$236,$U92))</f>
        <v/>
      </c>
      <c r="P92" s="27" t="n">
        <f aca="false">COUNTIF(F92:G92,"")+COUNTIF(I92:O92,"")-IF(AND(G92="対象外",K92=""),1,0)</f>
        <v>8</v>
      </c>
      <c r="Q92" s="11" t="str">
        <f aca="false">IF(F92="","会社名コード未設定（D4）",IF(OR(G92="",G92="n/a"),"適用性を確定（評価項目対応I列）",IF(AND(G92="対象外",OR(I92&lt;&gt;"対象外",J92&lt;&gt;"n/a")),"対象外ならR=対象外・S=n/a",IF(AND(G92="対象",OR(I92="対象外",J92="n/a")),"対象なのにR／Sが対象外・n/a",IF(AND(G92="対象",OR(I92="",J92="")),"R・Sを入力",IF(AND(ISNUMBER(J92),ISNUMBER(V92),ABS(N(J92)-N(V92))&gt;=1),"RとSの乖離（案分ならUに明記）",IF(AND(G92="対象",L92=""),"Uに制約・代替策・未検証を記載",IF(AND(G92="対象外",L92=""),"対象外の理由・承認者をUに記載",IF(OR(M92="",N92="",O92=""),"V～Xを入力",IF(P92&gt;0,"未記入あり（P列）","OK"))))))))))</f>
        <v>会社名コード未設定（D4）</v>
      </c>
      <c r="R92" s="11" t="str">
        <f aca="false">IF(INDEX(評価項目対応!$M$6:$M$236,$U92)="","",INDEX(評価項目対応!$M$6:$M$236,$U92))</f>
        <v/>
      </c>
      <c r="S92" s="11" t="str">
        <f aca="false">INDEX(評価項目対応!$H$6:$H$236,$U92)</f>
        <v>接続先のSMB・NTLM・暗号化設定は既存証跡を受領する。ChromeOS側のSMBクライアント制御（共有マウント可否・NTLM・NetBIOS探索）は4.09で確認する。</v>
      </c>
      <c r="T92" s="11" t="str">
        <f aca="false">TRIM(IF(INDEX(評価項目対応!$K$6:$K$236,$U92)="","","試験ID: "&amp;INDEX(評価項目対応!$K$6:$K$236,$U92)&amp;"　")&amp;IF(INDEX(評価項目対応!$L$6:$L$236,$U92)="","","判断理由: "&amp;INDEX(評価項目対応!$L$6:$L$236,$U92)))</f>
        <v/>
      </c>
      <c r="U92" s="28" t="n">
        <f aca="false">MATCH($A92,評価項目対応!$A$6:$A$236,0)</f>
        <v>86</v>
      </c>
      <c r="V92" s="28" t="str">
        <f aca="false">IFERROR(VLOOKUP(I92,$X$6:$Y$11,2,FALSE()),"")</f>
        <v/>
      </c>
    </row>
    <row r="93" customFormat="false" ht="49.5" hidden="false" customHeight="true" outlineLevel="0" collapsed="false">
      <c r="A93" s="13" t="n">
        <v>89</v>
      </c>
      <c r="B93" s="13" t="n">
        <f aca="false">INDEX(評価項目対応!$B$6:$B$236,$U93)</f>
        <v>71</v>
      </c>
      <c r="C93" s="13" t="str">
        <f aca="false">INDEX(評価項目対応!$F$6:$F$236,$U93)</f>
        <v>4.04b</v>
      </c>
      <c r="D93" s="11" t="str">
        <f aca="false">INDEX(評価項目対応!$D$6:$D$236,$U93)</f>
        <v>SMB管理</v>
      </c>
      <c r="E93" s="11" t="str">
        <f aca="false">INDEX(評価項目対応!$E$6:$E$236,$U93)</f>
        <v>潜在的に異常で有害な動作のフラグを立てるのに役立つ SMB トラフィッ
クをログに記録して監視する。</v>
      </c>
      <c r="F93" s="13" t="str">
        <f aca="false">IF($D$4="","",$D$4)</f>
        <v/>
      </c>
      <c r="G93" s="13" t="str">
        <f aca="false">IFERROR(IF(INDEX(評価項目対応!$I$6:$I$236,$U93)="対象","対象",IF(INDEX(評価項目対応!$I$6:$I$236,$U93)="対象外（承認済）","対象外",IF(INDEX(評価項目対応!$I$6:$I$236,$U93)="未確定","n/a",""))),"")</f>
        <v>n/a</v>
      </c>
      <c r="H93" s="25" t="str">
        <f aca="false">IF(ISBLANK(J93),"",IF(J93=5,"Yes",IF(J93=4,"Yes","No")))</f>
        <v/>
      </c>
      <c r="I93" s="18"/>
      <c r="J93" s="26"/>
      <c r="K93" s="18"/>
      <c r="L93" s="18"/>
      <c r="M93" s="11" t="str">
        <f aca="false">IF(INDEX(評価項目対応!$J$6:$J$236,$U93)="","",INDEX(評価項目対応!$J$6:$J$236,$U93))</f>
        <v/>
      </c>
      <c r="N93" s="11" t="str">
        <f aca="false">IF(INDEX(評価項目対応!$N$6:$N$236,$U93)="","",INDEX(評価項目対応!$N$6:$N$236,$U93))</f>
        <v/>
      </c>
      <c r="O93" s="11" t="str">
        <f aca="false">IF(INDEX(評価項目対応!$O$6:$O$236,$U93)="","",INDEX(評価項目対応!$O$6:$O$236,$U93))</f>
        <v/>
      </c>
      <c r="P93" s="27" t="n">
        <f aca="false">COUNTIF(F93:G93,"")+COUNTIF(I93:O93,"")-IF(AND(G93="対象外",K93=""),1,0)</f>
        <v>8</v>
      </c>
      <c r="Q93" s="11" t="str">
        <f aca="false">IF(F93="","会社名コード未設定（D4）",IF(OR(G93="",G93="n/a"),"適用性を確定（評価項目対応I列）",IF(AND(G93="対象外",OR(I93&lt;&gt;"対象外",J93&lt;&gt;"n/a")),"対象外ならR=対象外・S=n/a",IF(AND(G93="対象",OR(I93="対象外",J93="n/a")),"対象なのにR／Sが対象外・n/a",IF(AND(G93="対象",OR(I93="",J93="")),"R・Sを入力",IF(AND(ISNUMBER(J93),ISNUMBER(V93),ABS(N(J93)-N(V93))&gt;=1),"RとSの乖離（案分ならUに明記）",IF(AND(G93="対象",L93=""),"Uに制約・代替策・未検証を記載",IF(AND(G93="対象外",L93=""),"対象外の理由・承認者をUに記載",IF(OR(M93="",N93="",O93=""),"V～Xを入力",IF(P93&gt;0,"未記入あり（P列）","OK"))))))))))</f>
        <v>会社名コード未設定（D4）</v>
      </c>
      <c r="R93" s="11" t="str">
        <f aca="false">IF(INDEX(評価項目対応!$M$6:$M$236,$U93)="","",INDEX(評価項目対応!$M$6:$M$236,$U93))</f>
        <v/>
      </c>
      <c r="S93" s="11" t="str">
        <f aca="false">INDEX(評価項目対応!$H$6:$H$236,$U93)</f>
        <v>接続先のSMB・NTLM・暗号化設定は既存証跡を受領する。ChromeOS側のSMBクライアント制御（共有マウント可否・NTLM・NetBIOS探索）は4.09で確認する。</v>
      </c>
      <c r="T93" s="11" t="str">
        <f aca="false">TRIM(IF(INDEX(評価項目対応!$K$6:$K$236,$U93)="","","試験ID: "&amp;INDEX(評価項目対応!$K$6:$K$236,$U93)&amp;"　")&amp;IF(INDEX(評価項目対応!$L$6:$L$236,$U93)="","","判断理由: "&amp;INDEX(評価項目対応!$L$6:$L$236,$U93)))</f>
        <v/>
      </c>
      <c r="U93" s="28" t="n">
        <f aca="false">MATCH($A93,評価項目対応!$A$6:$A$236,0)</f>
        <v>87</v>
      </c>
      <c r="V93" s="28" t="str">
        <f aca="false">IFERROR(VLOOKUP(I93,$X$6:$Y$11,2,FALSE()),"")</f>
        <v/>
      </c>
    </row>
    <row r="94" customFormat="false" ht="36" hidden="false" customHeight="true" outlineLevel="0" collapsed="false">
      <c r="A94" s="13" t="n">
        <v>90</v>
      </c>
      <c r="B94" s="13" t="n">
        <f aca="false">INDEX(評価項目対応!$B$6:$B$236,$U94)</f>
        <v>52</v>
      </c>
      <c r="C94" s="13" t="str">
        <f aca="false">INDEX(評価項目対応!$F$6:$F$236,$U94)</f>
        <v>4.03</v>
      </c>
      <c r="D94" s="11" t="str">
        <f aca="false">INDEX(評価項目対応!$D$6:$D$236,$U94)</f>
        <v>VPN管理</v>
      </c>
      <c r="E94" s="11" t="str">
        <f aca="false">INDEX(評価項目対応!$E$6:$E$236,$U94)</f>
        <v>セキュリティを強化するために、すべてのVPN接続にMFAを実装する。</v>
      </c>
      <c r="F94" s="13" t="str">
        <f aca="false">IF($D$4="","",$D$4)</f>
        <v/>
      </c>
      <c r="G94" s="13" t="str">
        <f aca="false">IFERROR(IF(INDEX(評価項目対応!$I$6:$I$236,$U94)="対象","対象",IF(INDEX(評価項目対応!$I$6:$I$236,$U94)="対象外（承認済）","対象外",IF(INDEX(評価項目対応!$I$6:$I$236,$U94)="未確定","n/a",""))),"")</f>
        <v>n/a</v>
      </c>
      <c r="H94" s="25" t="str">
        <f aca="false">IF(ISBLANK(J94),"",IF(J94=5,"Yes",IF(J94=4,"Yes","No")))</f>
        <v/>
      </c>
      <c r="I94" s="18"/>
      <c r="J94" s="26"/>
      <c r="K94" s="18"/>
      <c r="L94" s="18"/>
      <c r="M94" s="11" t="str">
        <f aca="false">IF(INDEX(評価項目対応!$J$6:$J$236,$U94)="","",INDEX(評価項目対応!$J$6:$J$236,$U94))</f>
        <v/>
      </c>
      <c r="N94" s="11" t="str">
        <f aca="false">IF(INDEX(評価項目対応!$N$6:$N$236,$U94)="","",INDEX(評価項目対応!$N$6:$N$236,$U94))</f>
        <v/>
      </c>
      <c r="O94" s="11" t="str">
        <f aca="false">IF(INDEX(評価項目対応!$O$6:$O$236,$U94)="","",INDEX(評価項目対応!$O$6:$O$236,$U94))</f>
        <v/>
      </c>
      <c r="P94" s="27" t="n">
        <f aca="false">COUNTIF(F94:G94,"")+COUNTIF(I94:O94,"")-IF(AND(G94="対象外",K94=""),1,0)</f>
        <v>8</v>
      </c>
      <c r="Q94" s="11" t="str">
        <f aca="false">IF(F94="","会社名コード未設定（D4）",IF(OR(G94="",G94="n/a"),"適用性を確定（評価項目対応I列）",IF(AND(G94="対象外",OR(I94&lt;&gt;"対象外",J94&lt;&gt;"n/a")),"対象外ならR=対象外・S=n/a",IF(AND(G94="対象",OR(I94="対象外",J94="n/a")),"対象なのにR／Sが対象外・n/a",IF(AND(G94="対象",OR(I94="",J94="")),"R・Sを入力",IF(AND(ISNUMBER(J94),ISNUMBER(V94),ABS(N(J94)-N(V94))&gt;=1),"RとSの乖離（案分ならUに明記）",IF(AND(G94="対象",L94=""),"Uに制約・代替策・未検証を記載",IF(AND(G94="対象外",L94=""),"対象外の理由・承認者をUに記載",IF(OR(M94="",N94="",O94=""),"V～Xを入力",IF(P94&gt;0,"未記入あり（P列）","OK"))))))))))</f>
        <v>会社名コード未設定（D4）</v>
      </c>
      <c r="R94" s="11" t="str">
        <f aca="false">IF(INDEX(評価項目対応!$M$6:$M$236,$U94)="","",INDEX(評価項目対応!$M$6:$M$236,$U94))</f>
        <v/>
      </c>
      <c r="S94" s="11" t="str">
        <f aca="false">INDEX(評価項目対応!$H$6:$H$236,$U94)</f>
        <v>会社・外部ネットワークの経路、VPN認証、DNS／FW制御と構成図の保管を確認する。</v>
      </c>
      <c r="T94" s="11" t="str">
        <f aca="false">TRIM(IF(INDEX(評価項目対応!$K$6:$K$236,$U94)="","","試験ID: "&amp;INDEX(評価項目対応!$K$6:$K$236,$U94)&amp;"　")&amp;IF(INDEX(評価項目対応!$L$6:$L$236,$U94)="","","判断理由: "&amp;INDEX(評価項目対応!$L$6:$L$236,$U94)))</f>
        <v/>
      </c>
      <c r="U94" s="28" t="n">
        <f aca="false">MATCH($A94,評価項目対応!$A$6:$A$236,0)</f>
        <v>88</v>
      </c>
      <c r="V94" s="28" t="str">
        <f aca="false">IFERROR(VLOOKUP(I94,$X$6:$Y$11,2,FALSE()),"")</f>
        <v/>
      </c>
    </row>
    <row r="95" customFormat="false" ht="49.5" hidden="false" customHeight="true" outlineLevel="0" collapsed="false">
      <c r="A95" s="13" t="n">
        <v>91</v>
      </c>
      <c r="B95" s="13" t="n">
        <f aca="false">INDEX(評価項目対応!$B$6:$B$236,$U95)</f>
        <v>53</v>
      </c>
      <c r="C95" s="13" t="str">
        <f aca="false">INDEX(評価項目対応!$F$6:$F$236,$U95)</f>
        <v>4.03</v>
      </c>
      <c r="D95" s="11" t="str">
        <f aca="false">INDEX(評価項目対応!$D$6:$D$236,$U95)</f>
        <v>リモート環境管理</v>
      </c>
      <c r="E95" s="11" t="str">
        <f aca="false">INDEX(評価項目対応!$E$6:$E$236,$U95)</f>
        <v>MFAが実装されていない場合は、在宅勤務者に15文字以上のパスワードの
使用を義務付ける。</v>
      </c>
      <c r="F95" s="13" t="str">
        <f aca="false">IF($D$4="","",$D$4)</f>
        <v/>
      </c>
      <c r="G95" s="13" t="str">
        <f aca="false">IFERROR(IF(INDEX(評価項目対応!$I$6:$I$236,$U95)="対象","対象",IF(INDEX(評価項目対応!$I$6:$I$236,$U95)="対象外（承認済）","対象外",IF(INDEX(評価項目対応!$I$6:$I$236,$U95)="未確定","n/a",""))),"")</f>
        <v>n/a</v>
      </c>
      <c r="H95" s="25" t="str">
        <f aca="false">IF(ISBLANK(J95),"",IF(J95=5,"Yes",IF(J95=4,"Yes","No")))</f>
        <v/>
      </c>
      <c r="I95" s="18"/>
      <c r="J95" s="26"/>
      <c r="K95" s="18"/>
      <c r="L95" s="18"/>
      <c r="M95" s="11" t="str">
        <f aca="false">IF(INDEX(評価項目対応!$J$6:$J$236,$U95)="","",INDEX(評価項目対応!$J$6:$J$236,$U95))</f>
        <v/>
      </c>
      <c r="N95" s="11" t="str">
        <f aca="false">IF(INDEX(評価項目対応!$N$6:$N$236,$U95)="","",INDEX(評価項目対応!$N$6:$N$236,$U95))</f>
        <v/>
      </c>
      <c r="O95" s="11" t="str">
        <f aca="false">IF(INDEX(評価項目対応!$O$6:$O$236,$U95)="","",INDEX(評価項目対応!$O$6:$O$236,$U95))</f>
        <v/>
      </c>
      <c r="P95" s="27" t="n">
        <f aca="false">COUNTIF(F95:G95,"")+COUNTIF(I95:O95,"")-IF(AND(G95="対象外",K95=""),1,0)</f>
        <v>8</v>
      </c>
      <c r="Q95" s="11" t="str">
        <f aca="false">IF(F95="","会社名コード未設定（D4）",IF(OR(G95="",G95="n/a"),"適用性を確定（評価項目対応I列）",IF(AND(G95="対象外",OR(I95&lt;&gt;"対象外",J95&lt;&gt;"n/a")),"対象外ならR=対象外・S=n/a",IF(AND(G95="対象",OR(I95="対象外",J95="n/a")),"対象なのにR／Sが対象外・n/a",IF(AND(G95="対象",OR(I95="",J95="")),"R・Sを入力",IF(AND(ISNUMBER(J95),ISNUMBER(V95),ABS(N(J95)-N(V95))&gt;=1),"RとSの乖離（案分ならUに明記）",IF(AND(G95="対象",L95=""),"Uに制約・代替策・未検証を記載",IF(AND(G95="対象外",L95=""),"対象外の理由・承認者をUに記載",IF(OR(M95="",N95="",O95=""),"V～Xを入力",IF(P95&gt;0,"未記入あり（P列）","OK"))))))))))</f>
        <v>会社名コード未設定（D4）</v>
      </c>
      <c r="R95" s="11" t="str">
        <f aca="false">IF(INDEX(評価項目対応!$M$6:$M$236,$U95)="","",INDEX(評価項目対応!$M$6:$M$236,$U95))</f>
        <v/>
      </c>
      <c r="S95" s="11" t="str">
        <f aca="false">INDEX(評価項目対応!$H$6:$H$236,$U95)</f>
        <v>会社・外部ネットワークの経路、VPN認証、DNS／FW制御と構成図の保管を確認する。</v>
      </c>
      <c r="T95" s="11" t="str">
        <f aca="false">TRIM(IF(INDEX(評価項目対応!$K$6:$K$236,$U95)="","","試験ID: "&amp;INDEX(評価項目対応!$K$6:$K$236,$U95)&amp;"　")&amp;IF(INDEX(評価項目対応!$L$6:$L$236,$U95)="","","判断理由: "&amp;INDEX(評価項目対応!$L$6:$L$236,$U95)))</f>
        <v/>
      </c>
      <c r="U95" s="28" t="n">
        <f aca="false">MATCH($A95,評価項目対応!$A$6:$A$236,0)</f>
        <v>89</v>
      </c>
      <c r="V95" s="28" t="str">
        <f aca="false">IFERROR(VLOOKUP(I95,$X$6:$Y$11,2,FALSE()),"")</f>
        <v/>
      </c>
    </row>
    <row r="96" customFormat="false" ht="49.5" hidden="false" customHeight="true" outlineLevel="0" collapsed="false">
      <c r="A96" s="13" t="n">
        <v>92</v>
      </c>
      <c r="B96" s="13" t="n">
        <f aca="false">INDEX(評価項目対応!$B$6:$B$236,$U96)</f>
        <v>65</v>
      </c>
      <c r="C96" s="13" t="str">
        <f aca="false">INDEX(評価項目対応!$F$6:$F$236,$U96)</f>
        <v>4.04b</v>
      </c>
      <c r="D96" s="11" t="str">
        <f aca="false">INDEX(評価項目対応!$D$6:$D$236,$U96)</f>
        <v>暗号化管理</v>
      </c>
      <c r="E96" s="11" t="str">
        <f aca="false">INDEX(評価項目対応!$E$6:$E$236,$U96)</f>
        <v>SMB暗号化の要求を検討する。</v>
      </c>
      <c r="F96" s="13" t="str">
        <f aca="false">IF($D$4="","",$D$4)</f>
        <v/>
      </c>
      <c r="G96" s="13" t="str">
        <f aca="false">IFERROR(IF(INDEX(評価項目対応!$I$6:$I$236,$U96)="対象","対象",IF(INDEX(評価項目対応!$I$6:$I$236,$U96)="対象外（承認済）","対象外",IF(INDEX(評価項目対応!$I$6:$I$236,$U96)="未確定","n/a",""))),"")</f>
        <v>n/a</v>
      </c>
      <c r="H96" s="25" t="str">
        <f aca="false">IF(ISBLANK(J96),"",IF(J96=5,"Yes",IF(J96=4,"Yes","No")))</f>
        <v/>
      </c>
      <c r="I96" s="18"/>
      <c r="J96" s="26"/>
      <c r="K96" s="18"/>
      <c r="L96" s="18"/>
      <c r="M96" s="11" t="str">
        <f aca="false">IF(INDEX(評価項目対応!$J$6:$J$236,$U96)="","",INDEX(評価項目対応!$J$6:$J$236,$U96))</f>
        <v/>
      </c>
      <c r="N96" s="11" t="str">
        <f aca="false">IF(INDEX(評価項目対応!$N$6:$N$236,$U96)="","",INDEX(評価項目対応!$N$6:$N$236,$U96))</f>
        <v/>
      </c>
      <c r="O96" s="11" t="str">
        <f aca="false">IF(INDEX(評価項目対応!$O$6:$O$236,$U96)="","",INDEX(評価項目対応!$O$6:$O$236,$U96))</f>
        <v/>
      </c>
      <c r="P96" s="27" t="n">
        <f aca="false">COUNTIF(F96:G96,"")+COUNTIF(I96:O96,"")-IF(AND(G96="対象外",K96=""),1,0)</f>
        <v>8</v>
      </c>
      <c r="Q96" s="11" t="str">
        <f aca="false">IF(F96="","会社名コード未設定（D4）",IF(OR(G96="",G96="n/a"),"適用性を確定（評価項目対応I列）",IF(AND(G96="対象外",OR(I96&lt;&gt;"対象外",J96&lt;&gt;"n/a")),"対象外ならR=対象外・S=n/a",IF(AND(G96="対象",OR(I96="対象外",J96="n/a")),"対象なのにR／Sが対象外・n/a",IF(AND(G96="対象",OR(I96="",J96="")),"R・Sを入力",IF(AND(ISNUMBER(J96),ISNUMBER(V96),ABS(N(J96)-N(V96))&gt;=1),"RとSの乖離（案分ならUに明記）",IF(AND(G96="対象",L96=""),"Uに制約・代替策・未検証を記載",IF(AND(G96="対象外",L96=""),"対象外の理由・承認者をUに記載",IF(OR(M96="",N96="",O96=""),"V～Xを入力",IF(P96&gt;0,"未記入あり（P列）","OK"))))))))))</f>
        <v>会社名コード未設定（D4）</v>
      </c>
      <c r="R96" s="11" t="str">
        <f aca="false">IF(INDEX(評価項目対応!$M$6:$M$236,$U96)="","",INDEX(評価項目対応!$M$6:$M$236,$U96))</f>
        <v/>
      </c>
      <c r="S96" s="11" t="str">
        <f aca="false">INDEX(評価項目対応!$H$6:$H$236,$U96)</f>
        <v>接続先のSMB・NTLM・暗号化設定は既存証跡を受領する。ChromeOS側のSMBクライアント制御（共有マウント可否・NTLM・NetBIOS探索）は4.09で確認する。</v>
      </c>
      <c r="T96" s="11" t="str">
        <f aca="false">TRIM(IF(INDEX(評価項目対応!$K$6:$K$236,$U96)="","","試験ID: "&amp;INDEX(評価項目対応!$K$6:$K$236,$U96)&amp;"　")&amp;IF(INDEX(評価項目対応!$L$6:$L$236,$U96)="","","判断理由: "&amp;INDEX(評価項目対応!$L$6:$L$236,$U96)))</f>
        <v/>
      </c>
      <c r="U96" s="28" t="n">
        <f aca="false">MATCH($A96,評価項目対応!$A$6:$A$236,0)</f>
        <v>90</v>
      </c>
      <c r="V96" s="28" t="str">
        <f aca="false">IFERROR(VLOOKUP(I96,$X$6:$Y$11,2,FALSE()),"")</f>
        <v/>
      </c>
    </row>
    <row r="97" customFormat="false" ht="120" hidden="false" customHeight="true" outlineLevel="0" collapsed="false">
      <c r="A97" s="13" t="n">
        <v>93</v>
      </c>
      <c r="B97" s="13" t="n">
        <f aca="false">INDEX(評価項目対応!$B$6:$B$236,$U97)</f>
        <v>66</v>
      </c>
      <c r="C97" s="13" t="str">
        <f aca="false">INDEX(評価項目対応!$F$6:$F$236,$U97)</f>
        <v>4.04b</v>
      </c>
      <c r="D97" s="11" t="str">
        <f aca="false">INDEX(評価項目対応!$D$6:$D$236,$U97)</f>
        <v>暗号化管理</v>
      </c>
      <c r="E97" s="11" t="str">
        <f aca="false">INDEX(評価項目対応!$E$6:$E$236,$U97)</f>
        <v>SMB3.1.1クライアントが常にSMB暗号化を使用することを保証するには、S
MB1.0サーバーを無効にする。
（詳細については、MicrosoftのSMB security enhancements | Enable SM
B Encryption and Reduced performance after SMB Encryption or SMB S
igning is enabledを参照）</v>
      </c>
      <c r="F97" s="13" t="str">
        <f aca="false">IF($D$4="","",$D$4)</f>
        <v/>
      </c>
      <c r="G97" s="13" t="str">
        <f aca="false">IFERROR(IF(INDEX(評価項目対応!$I$6:$I$236,$U97)="対象","対象",IF(INDEX(評価項目対応!$I$6:$I$236,$U97)="対象外（承認済）","対象外",IF(INDEX(評価項目対応!$I$6:$I$236,$U97)="未確定","n/a",""))),"")</f>
        <v>n/a</v>
      </c>
      <c r="H97" s="25" t="str">
        <f aca="false">IF(ISBLANK(J97),"",IF(J97=5,"Yes",IF(J97=4,"Yes","No")))</f>
        <v/>
      </c>
      <c r="I97" s="18"/>
      <c r="J97" s="26"/>
      <c r="K97" s="18"/>
      <c r="L97" s="18"/>
      <c r="M97" s="11" t="str">
        <f aca="false">IF(INDEX(評価項目対応!$J$6:$J$236,$U97)="","",INDEX(評価項目対応!$J$6:$J$236,$U97))</f>
        <v/>
      </c>
      <c r="N97" s="11" t="str">
        <f aca="false">IF(INDEX(評価項目対応!$N$6:$N$236,$U97)="","",INDEX(評価項目対応!$N$6:$N$236,$U97))</f>
        <v/>
      </c>
      <c r="O97" s="11" t="str">
        <f aca="false">IF(INDEX(評価項目対応!$O$6:$O$236,$U97)="","",INDEX(評価項目対応!$O$6:$O$236,$U97))</f>
        <v/>
      </c>
      <c r="P97" s="27" t="n">
        <f aca="false">COUNTIF(F97:G97,"")+COUNTIF(I97:O97,"")-IF(AND(G97="対象外",K97=""),1,0)</f>
        <v>8</v>
      </c>
      <c r="Q97" s="11" t="str">
        <f aca="false">IF(F97="","会社名コード未設定（D4）",IF(OR(G97="",G97="n/a"),"適用性を確定（評価項目対応I列）",IF(AND(G97="対象外",OR(I97&lt;&gt;"対象外",J97&lt;&gt;"n/a")),"対象外ならR=対象外・S=n/a",IF(AND(G97="対象",OR(I97="対象外",J97="n/a")),"対象なのにR／Sが対象外・n/a",IF(AND(G97="対象",OR(I97="",J97="")),"R・Sを入力",IF(AND(ISNUMBER(J97),ISNUMBER(V97),ABS(N(J97)-N(V97))&gt;=1),"RとSの乖離（案分ならUに明記）",IF(AND(G97="対象",L97=""),"Uに制約・代替策・未検証を記載",IF(AND(G97="対象外",L97=""),"対象外の理由・承認者をUに記載",IF(OR(M97="",N97="",O97=""),"V～Xを入力",IF(P97&gt;0,"未記入あり（P列）","OK"))))))))))</f>
        <v>会社名コード未設定（D4）</v>
      </c>
      <c r="R97" s="11" t="str">
        <f aca="false">IF(INDEX(評価項目対応!$M$6:$M$236,$U97)="","",INDEX(評価項目対応!$M$6:$M$236,$U97))</f>
        <v/>
      </c>
      <c r="S97" s="11" t="str">
        <f aca="false">INDEX(評価項目対応!$H$6:$H$236,$U97)</f>
        <v>接続先のSMB・NTLM・暗号化設定は既存証跡を受領する。ChromeOS側のSMBクライアント制御（共有マウント可否・NTLM・NetBIOS探索）は4.09で確認する。</v>
      </c>
      <c r="T97" s="11" t="str">
        <f aca="false">TRIM(IF(INDEX(評価項目対応!$K$6:$K$236,$U97)="","","試験ID: "&amp;INDEX(評価項目対応!$K$6:$K$236,$U97)&amp;"　")&amp;IF(INDEX(評価項目対応!$L$6:$L$236,$U97)="","","判断理由: "&amp;INDEX(評価項目対応!$L$6:$L$236,$U97)))</f>
        <v/>
      </c>
      <c r="U97" s="28" t="n">
        <f aca="false">MATCH($A97,評価項目対応!$A$6:$A$236,0)</f>
        <v>91</v>
      </c>
      <c r="V97" s="28" t="str">
        <f aca="false">IFERROR(VLOOKUP(I97,$X$6:$Y$11,2,FALSE()),"")</f>
        <v/>
      </c>
    </row>
    <row r="98" customFormat="false" ht="49.5" hidden="false" customHeight="true" outlineLevel="0" collapsed="false">
      <c r="A98" s="13" t="n">
        <v>94</v>
      </c>
      <c r="B98" s="13" t="n">
        <f aca="false">INDEX(評価項目対応!$B$6:$B$236,$U98)</f>
        <v>67</v>
      </c>
      <c r="C98" s="13" t="str">
        <f aca="false">INDEX(評価項目対応!$F$6:$F$236,$U98)</f>
        <v>4.04b</v>
      </c>
      <c r="D98" s="11" t="str">
        <f aca="false">INDEX(評価項目対応!$D$6:$D$236,$U98)</f>
        <v>暗号化管理</v>
      </c>
      <c r="E98" s="11" t="str">
        <f aca="false">INDEX(評価項目対応!$E$6:$E$236,$U98)</f>
        <v>SMB暗号化が有効でない場合は、すべてのシステムでSMBクライアントとサ
ーバーの両方にSMB署名を要求する。</v>
      </c>
      <c r="F98" s="13" t="str">
        <f aca="false">IF($D$4="","",$D$4)</f>
        <v/>
      </c>
      <c r="G98" s="13" t="str">
        <f aca="false">IFERROR(IF(INDEX(評価項目対応!$I$6:$I$236,$U98)="対象","対象",IF(INDEX(評価項目対応!$I$6:$I$236,$U98)="対象外（承認済）","対象外",IF(INDEX(評価項目対応!$I$6:$I$236,$U98)="未確定","n/a",""))),"")</f>
        <v>n/a</v>
      </c>
      <c r="H98" s="25" t="str">
        <f aca="false">IF(ISBLANK(J98),"",IF(J98=5,"Yes",IF(J98=4,"Yes","No")))</f>
        <v/>
      </c>
      <c r="I98" s="18"/>
      <c r="J98" s="26"/>
      <c r="K98" s="18"/>
      <c r="L98" s="18"/>
      <c r="M98" s="11" t="str">
        <f aca="false">IF(INDEX(評価項目対応!$J$6:$J$236,$U98)="","",INDEX(評価項目対応!$J$6:$J$236,$U98))</f>
        <v/>
      </c>
      <c r="N98" s="11" t="str">
        <f aca="false">IF(INDEX(評価項目対応!$N$6:$N$236,$U98)="","",INDEX(評価項目対応!$N$6:$N$236,$U98))</f>
        <v/>
      </c>
      <c r="O98" s="11" t="str">
        <f aca="false">IF(INDEX(評価項目対応!$O$6:$O$236,$U98)="","",INDEX(評価項目対応!$O$6:$O$236,$U98))</f>
        <v/>
      </c>
      <c r="P98" s="27" t="n">
        <f aca="false">COUNTIF(F98:G98,"")+COUNTIF(I98:O98,"")-IF(AND(G98="対象外",K98=""),1,0)</f>
        <v>8</v>
      </c>
      <c r="Q98" s="11" t="str">
        <f aca="false">IF(F98="","会社名コード未設定（D4）",IF(OR(G98="",G98="n/a"),"適用性を確定（評価項目対応I列）",IF(AND(G98="対象外",OR(I98&lt;&gt;"対象外",J98&lt;&gt;"n/a")),"対象外ならR=対象外・S=n/a",IF(AND(G98="対象",OR(I98="対象外",J98="n/a")),"対象なのにR／Sが対象外・n/a",IF(AND(G98="対象",OR(I98="",J98="")),"R・Sを入力",IF(AND(ISNUMBER(J98),ISNUMBER(V98),ABS(N(J98)-N(V98))&gt;=1),"RとSの乖離（案分ならUに明記）",IF(AND(G98="対象",L98=""),"Uに制約・代替策・未検証を記載",IF(AND(G98="対象外",L98=""),"対象外の理由・承認者をUに記載",IF(OR(M98="",N98="",O98=""),"V～Xを入力",IF(P98&gt;0,"未記入あり（P列）","OK"))))))))))</f>
        <v>会社名コード未設定（D4）</v>
      </c>
      <c r="R98" s="11" t="str">
        <f aca="false">IF(INDEX(評価項目対応!$M$6:$M$236,$U98)="","",INDEX(評価項目対応!$M$6:$M$236,$U98))</f>
        <v/>
      </c>
      <c r="S98" s="11" t="str">
        <f aca="false">INDEX(評価項目対応!$H$6:$H$236,$U98)</f>
        <v>接続先のSMB・NTLM・暗号化設定は既存証跡を受領する。ChromeOS側のSMBクライアント制御（共有マウント可否・NTLM・NetBIOS探索）は4.09で確認する。</v>
      </c>
      <c r="T98" s="11" t="str">
        <f aca="false">TRIM(IF(INDEX(評価項目対応!$K$6:$K$236,$U98)="","","試験ID: "&amp;INDEX(評価項目対応!$K$6:$K$236,$U98)&amp;"　")&amp;IF(INDEX(評価項目対応!$L$6:$L$236,$U98)="","","判断理由: "&amp;INDEX(評価項目対応!$L$6:$L$236,$U98)))</f>
        <v/>
      </c>
      <c r="U98" s="28" t="n">
        <f aca="false">MATCH($A98,評価項目対応!$A$6:$A$236,0)</f>
        <v>92</v>
      </c>
      <c r="V98" s="28" t="str">
        <f aca="false">IFERROR(VLOOKUP(I98,$X$6:$Y$11,2,FALSE()),"")</f>
        <v/>
      </c>
    </row>
    <row r="99" customFormat="false" ht="49.5" hidden="false" customHeight="true" outlineLevel="0" collapsed="false">
      <c r="A99" s="13" t="n">
        <v>95</v>
      </c>
      <c r="B99" s="13" t="n">
        <f aca="false">INDEX(評価項目対応!$B$6:$B$236,$U99)</f>
        <v>68</v>
      </c>
      <c r="C99" s="13" t="str">
        <f aca="false">INDEX(評価項目対応!$F$6:$F$236,$U99)</f>
        <v>4.04b</v>
      </c>
      <c r="D99" s="11" t="str">
        <f aca="false">INDEX(評価項目対応!$D$6:$D$236,$U99)</f>
        <v>暗号化管理</v>
      </c>
      <c r="E99" s="11" t="str">
        <f aca="false">INDEX(評価項目対応!$E$6:$E$236,$U99)</f>
        <v>SMB署名により特定の中間者攻撃やパスザハッシュ攻撃を防ぐ。</v>
      </c>
      <c r="F99" s="13" t="str">
        <f aca="false">IF($D$4="","",$D$4)</f>
        <v/>
      </c>
      <c r="G99" s="13" t="str">
        <f aca="false">IFERROR(IF(INDEX(評価項目対応!$I$6:$I$236,$U99)="対象","対象",IF(INDEX(評価項目対応!$I$6:$I$236,$U99)="対象外（承認済）","対象外",IF(INDEX(評価項目対応!$I$6:$I$236,$U99)="未確定","n/a",""))),"")</f>
        <v>n/a</v>
      </c>
      <c r="H99" s="25" t="str">
        <f aca="false">IF(ISBLANK(J99),"",IF(J99=5,"Yes",IF(J99=4,"Yes","No")))</f>
        <v/>
      </c>
      <c r="I99" s="18"/>
      <c r="J99" s="26"/>
      <c r="K99" s="18"/>
      <c r="L99" s="18"/>
      <c r="M99" s="11" t="str">
        <f aca="false">IF(INDEX(評価項目対応!$J$6:$J$236,$U99)="","",INDEX(評価項目対応!$J$6:$J$236,$U99))</f>
        <v/>
      </c>
      <c r="N99" s="11" t="str">
        <f aca="false">IF(INDEX(評価項目対応!$N$6:$N$236,$U99)="","",INDEX(評価項目対応!$N$6:$N$236,$U99))</f>
        <v/>
      </c>
      <c r="O99" s="11" t="str">
        <f aca="false">IF(INDEX(評価項目対応!$O$6:$O$236,$U99)="","",INDEX(評価項目対応!$O$6:$O$236,$U99))</f>
        <v/>
      </c>
      <c r="P99" s="27" t="n">
        <f aca="false">COUNTIF(F99:G99,"")+COUNTIF(I99:O99,"")-IF(AND(G99="対象外",K99=""),1,0)</f>
        <v>8</v>
      </c>
      <c r="Q99" s="11" t="str">
        <f aca="false">IF(F99="","会社名コード未設定（D4）",IF(OR(G99="",G99="n/a"),"適用性を確定（評価項目対応I列）",IF(AND(G99="対象外",OR(I99&lt;&gt;"対象外",J99&lt;&gt;"n/a")),"対象外ならR=対象外・S=n/a",IF(AND(G99="対象",OR(I99="対象外",J99="n/a")),"対象なのにR／Sが対象外・n/a",IF(AND(G99="対象",OR(I99="",J99="")),"R・Sを入力",IF(AND(ISNUMBER(J99),ISNUMBER(V99),ABS(N(J99)-N(V99))&gt;=1),"RとSの乖離（案分ならUに明記）",IF(AND(G99="対象",L99=""),"Uに制約・代替策・未検証を記載",IF(AND(G99="対象外",L99=""),"対象外の理由・承認者をUに記載",IF(OR(M99="",N99="",O99=""),"V～Xを入力",IF(P99&gt;0,"未記入あり（P列）","OK"))))))))))</f>
        <v>会社名コード未設定（D4）</v>
      </c>
      <c r="R99" s="11" t="str">
        <f aca="false">IF(INDEX(評価項目対応!$M$6:$M$236,$U99)="","",INDEX(評価項目対応!$M$6:$M$236,$U99))</f>
        <v/>
      </c>
      <c r="S99" s="11" t="str">
        <f aca="false">INDEX(評価項目対応!$H$6:$H$236,$U99)</f>
        <v>接続先のSMB・NTLM・暗号化設定は既存証跡を受領する。ChromeOS側のSMBクライアント制御（共有マウント可否・NTLM・NetBIOS探索）は4.09で確認する。</v>
      </c>
      <c r="T99" s="11" t="str">
        <f aca="false">TRIM(IF(INDEX(評価項目対応!$K$6:$K$236,$U99)="","","試験ID: "&amp;INDEX(評価項目対応!$K$6:$K$236,$U99)&amp;"　")&amp;IF(INDEX(評価項目対応!$L$6:$L$236,$U99)="","","判断理由: "&amp;INDEX(評価項目対応!$L$6:$L$236,$U99)))</f>
        <v/>
      </c>
      <c r="U99" s="28" t="n">
        <f aca="false">MATCH($A99,評価項目対応!$A$6:$A$236,0)</f>
        <v>93</v>
      </c>
      <c r="V99" s="28" t="str">
        <f aca="false">IFERROR(VLOOKUP(I99,$X$6:$Y$11,2,FALSE()),"")</f>
        <v/>
      </c>
    </row>
    <row r="100" customFormat="false" ht="49.5" hidden="false" customHeight="true" outlineLevel="0" collapsed="false">
      <c r="A100" s="13" t="n">
        <v>96</v>
      </c>
      <c r="B100" s="13" t="n">
        <f aca="false">INDEX(評価項目対応!$B$6:$B$236,$U100)</f>
        <v>102</v>
      </c>
      <c r="C100" s="13" t="str">
        <f aca="false">INDEX(評価項目対応!$F$6:$F$236,$U100)</f>
        <v>3.09</v>
      </c>
      <c r="D100" s="11" t="str">
        <f aca="false">INDEX(評価項目対応!$D$6:$D$236,$U100)</f>
        <v>アンチマルウェアの運
用</v>
      </c>
      <c r="E100" s="11" t="str">
        <f aca="false">INDEX(評価項目対応!$E$6:$E$236,$U100)</f>
        <v>アンチウイルスとアンチマルウェアソフトウェアとシグネチャの自動更新
を使用する。</v>
      </c>
      <c r="F100" s="13" t="str">
        <f aca="false">IF($D$4="","",$D$4)</f>
        <v/>
      </c>
      <c r="G100" s="13" t="str">
        <f aca="false">IFERROR(IF(INDEX(評価項目対応!$I$6:$I$236,$U100)="対象","対象",IF(INDEX(評価項目対応!$I$6:$I$236,$U100)="対象外（承認済）","対象外",IF(INDEX(評価項目対応!$I$6:$I$236,$U100)="未確定","n/a",""))),"")</f>
        <v>n/a</v>
      </c>
      <c r="H100" s="25" t="str">
        <f aca="false">IF(ISBLANK(J100),"",IF(J100=5,"Yes",IF(J100=4,"Yes","No")))</f>
        <v/>
      </c>
      <c r="I100" s="18"/>
      <c r="J100" s="26"/>
      <c r="K100" s="18"/>
      <c r="L100" s="18"/>
      <c r="M100" s="11" t="str">
        <f aca="false">IF(INDEX(評価項目対応!$J$6:$J$236,$U100)="","",INDEX(評価項目対応!$J$6:$J$236,$U100))</f>
        <v/>
      </c>
      <c r="N100" s="11" t="str">
        <f aca="false">IF(INDEX(評価項目対応!$N$6:$N$236,$U100)="","",INDEX(評価項目対応!$N$6:$N$236,$U100))</f>
        <v/>
      </c>
      <c r="O100" s="11" t="str">
        <f aca="false">IF(INDEX(評価項目対応!$O$6:$O$236,$U100)="","",INDEX(評価項目対応!$O$6:$O$236,$U100))</f>
        <v/>
      </c>
      <c r="P100" s="27" t="n">
        <f aca="false">COUNTIF(F100:G100,"")+COUNTIF(I100:O100,"")-IF(AND(G100="対象外",K100=""),1,0)</f>
        <v>8</v>
      </c>
      <c r="Q100" s="11" t="str">
        <f aca="false">IF(F100="","会社名コード未設定（D4）",IF(OR(G100="",G100="n/a"),"適用性を確定（評価項目対応I列）",IF(AND(G100="対象外",OR(I100&lt;&gt;"対象外",J100&lt;&gt;"n/a")),"対象外ならR=対象外・S=n/a",IF(AND(G100="対象",OR(I100="対象外",J100="n/a")),"対象なのにR／Sが対象外・n/a",IF(AND(G100="対象",OR(I100="",J100="")),"R・Sを入力",IF(AND(ISNUMBER(J100),ISNUMBER(V100),ABS(N(J100)-N(V100))&gt;=1),"RとSの乖離（案分ならUに明記）",IF(AND(G100="対象",L100=""),"Uに制約・代替策・未検証を記載",IF(AND(G100="対象外",L100=""),"対象外の理由・承認者をUに記載",IF(OR(M100="",N100="",O100=""),"V～Xを入力",IF(P100&gt;0,"未記入あり（P列）","OK"))))))))))</f>
        <v>会社名コード未設定（D4）</v>
      </c>
      <c r="R100" s="11" t="str">
        <f aca="false">IF(INDEX(評価項目対応!$M$6:$M$236,$U100)="","",INDEX(評価項目対応!$M$6:$M$236,$U100))</f>
        <v/>
      </c>
      <c r="S100" s="11" t="str">
        <f aca="false">INDEX(評価項目対応!$H$6:$H$236,$U100)</f>
        <v>公式アーキテクチャ・既存対策により原要求との差分を説明する。実マルウェア試験は行わず、代替策は安全評価責任者の受容判断を得る。</v>
      </c>
      <c r="T100" s="11" t="str">
        <f aca="false">TRIM(IF(INDEX(評価項目対応!$K$6:$K$236,$U100)="","","試験ID: "&amp;INDEX(評価項目対応!$K$6:$K$236,$U100)&amp;"　")&amp;IF(INDEX(評価項目対応!$L$6:$L$236,$U100)="","","判断理由: "&amp;INDEX(評価項目対応!$L$6:$L$236,$U100)))</f>
        <v/>
      </c>
      <c r="U100" s="28" t="n">
        <f aca="false">MATCH($A100,評価項目対応!$A$6:$A$236,0)</f>
        <v>94</v>
      </c>
      <c r="V100" s="28" t="str">
        <f aca="false">IFERROR(VLOOKUP(I100,$X$6:$Y$11,2,FALSE()),"")</f>
        <v/>
      </c>
    </row>
    <row r="101" customFormat="false" ht="78" hidden="false" customHeight="true" outlineLevel="0" collapsed="false">
      <c r="A101" s="13" t="n">
        <v>97</v>
      </c>
      <c r="B101" s="13" t="n">
        <f aca="false">INDEX(評価項目対応!$B$6:$B$236,$U101)</f>
        <v>103</v>
      </c>
      <c r="C101" s="13" t="str">
        <f aca="false">INDEX(評価項目対応!$F$6:$F$236,$U101)</f>
        <v>3.09</v>
      </c>
      <c r="D101" s="11" t="str">
        <f aca="false">INDEX(評価項目対応!$D$6:$D$236,$U101)</f>
        <v>アンチマルウェアの運
用</v>
      </c>
      <c r="E101" s="11" t="str">
        <f aca="false">INDEX(評価項目対応!$E$6:$E$236,$U101)</f>
        <v>中央管理型のアンチウイルスソリューションの使用が推奨される。
（これにより、「前兆」マルウェアとランサムウェアの両方を検出できる
（EDR当の管理機能を持ったソリューション））</v>
      </c>
      <c r="F101" s="13" t="str">
        <f aca="false">IF($D$4="","",$D$4)</f>
        <v/>
      </c>
      <c r="G101" s="13" t="str">
        <f aca="false">IFERROR(IF(INDEX(評価項目対応!$I$6:$I$236,$U101)="対象","対象",IF(INDEX(評価項目対応!$I$6:$I$236,$U101)="対象外（承認済）","対象外",IF(INDEX(評価項目対応!$I$6:$I$236,$U101)="未確定","n/a",""))),"")</f>
        <v>n/a</v>
      </c>
      <c r="H101" s="25" t="str">
        <f aca="false">IF(ISBLANK(J101),"",IF(J101=5,"Yes",IF(J101=4,"Yes","No")))</f>
        <v/>
      </c>
      <c r="I101" s="18"/>
      <c r="J101" s="26"/>
      <c r="K101" s="18"/>
      <c r="L101" s="18"/>
      <c r="M101" s="11" t="str">
        <f aca="false">IF(INDEX(評価項目対応!$J$6:$J$236,$U101)="","",INDEX(評価項目対応!$J$6:$J$236,$U101))</f>
        <v/>
      </c>
      <c r="N101" s="11" t="str">
        <f aca="false">IF(INDEX(評価項目対応!$N$6:$N$236,$U101)="","",INDEX(評価項目対応!$N$6:$N$236,$U101))</f>
        <v/>
      </c>
      <c r="O101" s="11" t="str">
        <f aca="false">IF(INDEX(評価項目対応!$O$6:$O$236,$U101)="","",INDEX(評価項目対応!$O$6:$O$236,$U101))</f>
        <v/>
      </c>
      <c r="P101" s="27" t="n">
        <f aca="false">COUNTIF(F101:G101,"")+COUNTIF(I101:O101,"")-IF(AND(G101="対象外",K101=""),1,0)</f>
        <v>8</v>
      </c>
      <c r="Q101" s="11" t="str">
        <f aca="false">IF(F101="","会社名コード未設定（D4）",IF(OR(G101="",G101="n/a"),"適用性を確定（評価項目対応I列）",IF(AND(G101="対象外",OR(I101&lt;&gt;"対象外",J101&lt;&gt;"n/a")),"対象外ならR=対象外・S=n/a",IF(AND(G101="対象",OR(I101="対象外",J101="n/a")),"対象なのにR／Sが対象外・n/a",IF(AND(G101="対象",OR(I101="",J101="")),"R・Sを入力",IF(AND(ISNUMBER(J101),ISNUMBER(V101),ABS(N(J101)-N(V101))&gt;=1),"RとSの乖離（案分ならUに明記）",IF(AND(G101="対象",L101=""),"Uに制約・代替策・未検証を記載",IF(AND(G101="対象外",L101=""),"対象外の理由・承認者をUに記載",IF(OR(M101="",N101="",O101=""),"V～Xを入力",IF(P101&gt;0,"未記入あり（P列）","OK"))))))))))</f>
        <v>会社名コード未設定（D4）</v>
      </c>
      <c r="R101" s="11" t="str">
        <f aca="false">IF(INDEX(評価項目対応!$M$6:$M$236,$U101)="","",INDEX(評価項目対応!$M$6:$M$236,$U101))</f>
        <v/>
      </c>
      <c r="S101" s="11" t="str">
        <f aca="false">INDEX(評価項目対応!$H$6:$H$236,$U101)</f>
        <v>公式アーキテクチャ・既存対策により原要求との差分を説明する。実マルウェア試験は行わず、代替策は安全評価責任者の受容判断を得る。</v>
      </c>
      <c r="T101" s="11" t="str">
        <f aca="false">TRIM(IF(INDEX(評価項目対応!$K$6:$K$236,$U101)="","","試験ID: "&amp;INDEX(評価項目対応!$K$6:$K$236,$U101)&amp;"　")&amp;IF(INDEX(評価項目対応!$L$6:$L$236,$U101)="","","判断理由: "&amp;INDEX(評価項目対応!$L$6:$L$236,$U101)))</f>
        <v/>
      </c>
      <c r="U101" s="28" t="n">
        <f aca="false">MATCH($A101,評価項目対応!$A$6:$A$236,0)</f>
        <v>95</v>
      </c>
      <c r="V101" s="28" t="str">
        <f aca="false">IFERROR(VLOOKUP(I101,$X$6:$Y$11,2,FALSE()),"")</f>
        <v/>
      </c>
    </row>
    <row r="102" customFormat="false" ht="78" hidden="false" customHeight="true" outlineLevel="0" collapsed="false">
      <c r="A102" s="13" t="n">
        <v>98</v>
      </c>
      <c r="B102" s="13" t="n">
        <f aca="false">INDEX(評価項目対応!$B$6:$B$236,$U102)</f>
        <v>90</v>
      </c>
      <c r="C102" s="13" t="str">
        <f aca="false">INDEX(評価項目対応!$F$6:$F$236,$U102)</f>
        <v>5.08</v>
      </c>
      <c r="D102" s="11" t="str">
        <f aca="false">INDEX(評価項目対応!$D$6:$D$236,$U102)</f>
        <v>セキュリティ教育</v>
      </c>
      <c r="E102" s="11" t="str">
        <f aca="false">INDEX(評価項目対応!$E$6:$E$236,$U102)</f>
        <v>パスワードの再利用やローカルファイルへのパスワードの保存を強調する
ことを含め、年次セキュリティトレーニングで適切なパスワードセキュリ
ティに関するすべての従業員の教育を行う。</v>
      </c>
      <c r="F102" s="13" t="str">
        <f aca="false">IF($D$4="","",$D$4)</f>
        <v/>
      </c>
      <c r="G102" s="13" t="str">
        <f aca="false">IFERROR(IF(INDEX(評価項目対応!$I$6:$I$236,$U102)="対象","対象",IF(INDEX(評価項目対応!$I$6:$I$236,$U102)="対象外（承認済）","対象外",IF(INDEX(評価項目対応!$I$6:$I$236,$U102)="未確定","n/a",""))),"")</f>
        <v>n/a</v>
      </c>
      <c r="H102" s="25" t="str">
        <f aca="false">IF(ISBLANK(J102),"",IF(J102=5,"Yes",IF(J102=4,"Yes","No")))</f>
        <v/>
      </c>
      <c r="I102" s="18"/>
      <c r="J102" s="26"/>
      <c r="K102" s="18"/>
      <c r="L102" s="18"/>
      <c r="M102" s="11" t="str">
        <f aca="false">IF(INDEX(評価項目対応!$J$6:$J$236,$U102)="","",INDEX(評価項目対応!$J$6:$J$236,$U102))</f>
        <v/>
      </c>
      <c r="N102" s="11" t="str">
        <f aca="false">IF(INDEX(評価項目対応!$N$6:$N$236,$U102)="","",INDEX(評価項目対応!$N$6:$N$236,$U102))</f>
        <v/>
      </c>
      <c r="O102" s="11" t="str">
        <f aca="false">IF(INDEX(評価項目対応!$O$6:$O$236,$U102)="","",INDEX(評価項目対応!$O$6:$O$236,$U102))</f>
        <v/>
      </c>
      <c r="P102" s="27" t="n">
        <f aca="false">COUNTIF(F102:G102,"")+COUNTIF(I102:O102,"")-IF(AND(G102="対象外",K102=""),1,0)</f>
        <v>8</v>
      </c>
      <c r="Q102" s="11" t="str">
        <f aca="false">IF(F102="","会社名コード未設定（D4）",IF(OR(G102="",G102="n/a"),"適用性を確定（評価項目対応I列）",IF(AND(G102="対象外",OR(I102&lt;&gt;"対象外",J102&lt;&gt;"n/a")),"対象外ならR=対象外・S=n/a",IF(AND(G102="対象",OR(I102="対象外",J102="n/a")),"対象なのにR／Sが対象外・n/a",IF(AND(G102="対象",OR(I102="",J102="")),"R・Sを入力",IF(AND(ISNUMBER(J102),ISNUMBER(V102),ABS(N(J102)-N(V102))&gt;=1),"RとSの乖離（案分ならUに明記）",IF(AND(G102="対象",L102=""),"Uに制約・代替策・未検証を記載",IF(AND(G102="対象外",L102=""),"対象外の理由・承認者をUに記載",IF(OR(M102="",N102="",O102=""),"V～Xを入力",IF(P102&gt;0,"未記入あり（P列）","OK"))))))))))</f>
        <v>会社名コード未設定（D4）</v>
      </c>
      <c r="R102" s="11" t="str">
        <f aca="false">IF(INDEX(評価項目対応!$M$6:$M$236,$U102)="","",INDEX(評価項目対応!$M$6:$M$236,$U102))</f>
        <v/>
      </c>
      <c r="S102" s="11" t="str">
        <f aca="false">INDEX(評価項目対応!$H$6:$H$236,$U102)</f>
        <v>社内の教育・IR・報告・承認・定期改善の規程と実績を確認する。未整備は課題化し適用除外しない。</v>
      </c>
      <c r="T102" s="11" t="str">
        <f aca="false">TRIM(IF(INDEX(評価項目対応!$K$6:$K$236,$U102)="","","試験ID: "&amp;INDEX(評価項目対応!$K$6:$K$236,$U102)&amp;"　")&amp;IF(INDEX(評価項目対応!$L$6:$L$236,$U102)="","","判断理由: "&amp;INDEX(評価項目対応!$L$6:$L$236,$U102)))</f>
        <v/>
      </c>
      <c r="U102" s="28" t="n">
        <f aca="false">MATCH($A102,評価項目対応!$A$6:$A$236,0)</f>
        <v>96</v>
      </c>
      <c r="V102" s="28" t="str">
        <f aca="false">IFERROR(VLOOKUP(I102,$X$6:$Y$11,2,FALSE()),"")</f>
        <v/>
      </c>
    </row>
    <row r="103" customFormat="false" ht="78" hidden="false" customHeight="true" outlineLevel="0" collapsed="false">
      <c r="A103" s="13" t="n">
        <v>99</v>
      </c>
      <c r="B103" s="13" t="n">
        <f aca="false">INDEX(評価項目対応!$B$6:$B$236,$U103)</f>
        <v>93</v>
      </c>
      <c r="C103" s="13" t="str">
        <f aca="false">INDEX(評価項目対応!$F$6:$F$236,$U103)</f>
        <v>5.08</v>
      </c>
      <c r="D103" s="11" t="str">
        <f aca="false">INDEX(評価項目対応!$D$6:$D$236,$U103)</f>
        <v>セキュリティ教育</v>
      </c>
      <c r="E103" s="11" t="str">
        <f aca="false">INDEX(評価項目対応!$E$6:$E$236,$U103)</f>
        <v>フィッシングなどの不審なアクティビティを特定して報告する方法に関す
るガイダンスを含むサイバーセキュリティユーザー意識向上とトレーニン
グプログラムを実装する。</v>
      </c>
      <c r="F103" s="13" t="str">
        <f aca="false">IF($D$4="","",$D$4)</f>
        <v/>
      </c>
      <c r="G103" s="13" t="str">
        <f aca="false">IFERROR(IF(INDEX(評価項目対応!$I$6:$I$236,$U103)="対象","対象",IF(INDEX(評価項目対応!$I$6:$I$236,$U103)="対象外（承認済）","対象外",IF(INDEX(評価項目対応!$I$6:$I$236,$U103)="未確定","n/a",""))),"")</f>
        <v>n/a</v>
      </c>
      <c r="H103" s="25" t="str">
        <f aca="false">IF(ISBLANK(J103),"",IF(J103=5,"Yes",IF(J103=4,"Yes","No")))</f>
        <v/>
      </c>
      <c r="I103" s="18"/>
      <c r="J103" s="26"/>
      <c r="K103" s="18"/>
      <c r="L103" s="18"/>
      <c r="M103" s="11" t="str">
        <f aca="false">IF(INDEX(評価項目対応!$J$6:$J$236,$U103)="","",INDEX(評価項目対応!$J$6:$J$236,$U103))</f>
        <v/>
      </c>
      <c r="N103" s="11" t="str">
        <f aca="false">IF(INDEX(評価項目対応!$N$6:$N$236,$U103)="","",INDEX(評価項目対応!$N$6:$N$236,$U103))</f>
        <v/>
      </c>
      <c r="O103" s="11" t="str">
        <f aca="false">IF(INDEX(評価項目対応!$O$6:$O$236,$U103)="","",INDEX(評価項目対応!$O$6:$O$236,$U103))</f>
        <v/>
      </c>
      <c r="P103" s="27" t="n">
        <f aca="false">COUNTIF(F103:G103,"")+COUNTIF(I103:O103,"")-IF(AND(G103="対象外",K103=""),1,0)</f>
        <v>8</v>
      </c>
      <c r="Q103" s="11" t="str">
        <f aca="false">IF(F103="","会社名コード未設定（D4）",IF(OR(G103="",G103="n/a"),"適用性を確定（評価項目対応I列）",IF(AND(G103="対象外",OR(I103&lt;&gt;"対象外",J103&lt;&gt;"n/a")),"対象外ならR=対象外・S=n/a",IF(AND(G103="対象",OR(I103="対象外",J103="n/a")),"対象なのにR／Sが対象外・n/a",IF(AND(G103="対象",OR(I103="",J103="")),"R・Sを入力",IF(AND(ISNUMBER(J103),ISNUMBER(V103),ABS(N(J103)-N(V103))&gt;=1),"RとSの乖離（案分ならUに明記）",IF(AND(G103="対象",L103=""),"Uに制約・代替策・未検証を記載",IF(AND(G103="対象外",L103=""),"対象外の理由・承認者をUに記載",IF(OR(M103="",N103="",O103=""),"V～Xを入力",IF(P103&gt;0,"未記入あり（P列）","OK"))))))))))</f>
        <v>会社名コード未設定（D4）</v>
      </c>
      <c r="R103" s="11" t="str">
        <f aca="false">IF(INDEX(評価項目対応!$M$6:$M$236,$U103)="","",INDEX(評価項目対応!$M$6:$M$236,$U103))</f>
        <v/>
      </c>
      <c r="S103" s="11" t="str">
        <f aca="false">INDEX(評価項目対応!$H$6:$H$236,$U103)</f>
        <v>社内の教育・IR・報告・承認・定期改善の規程と実績を確認する。未整備は課題化し適用除外しない。</v>
      </c>
      <c r="T103" s="11" t="str">
        <f aca="false">TRIM(IF(INDEX(評価項目対応!$K$6:$K$236,$U103)="","","試験ID: "&amp;INDEX(評価項目対応!$K$6:$K$236,$U103)&amp;"　")&amp;IF(INDEX(評価項目対応!$L$6:$L$236,$U103)="","","判断理由: "&amp;INDEX(評価項目対応!$L$6:$L$236,$U103)))</f>
        <v/>
      </c>
      <c r="U103" s="28" t="n">
        <f aca="false">MATCH($A103,評価項目対応!$A$6:$A$236,0)</f>
        <v>97</v>
      </c>
      <c r="V103" s="28" t="str">
        <f aca="false">IFERROR(VLOOKUP(I103,$X$6:$Y$11,2,FALSE()),"")</f>
        <v/>
      </c>
    </row>
    <row r="104" customFormat="false" ht="105.75" hidden="false" customHeight="true" outlineLevel="0" collapsed="false">
      <c r="A104" s="13" t="n">
        <v>100</v>
      </c>
      <c r="B104" s="13" t="n">
        <f aca="false">INDEX(評価項目対応!$B$6:$B$236,$U104)</f>
        <v>111</v>
      </c>
      <c r="C104" s="13" t="str">
        <f aca="false">INDEX(評価項目対応!$F$6:$F$236,$U104)</f>
        <v>5.08</v>
      </c>
      <c r="D104" s="11" t="str">
        <f aca="false">INDEX(評価項目対応!$D$6:$D$236,$U104)</f>
        <v>セキュリティ教育</v>
      </c>
      <c r="E104" s="11" t="str">
        <f aca="false">INDEX(評価項目対応!$E$6:$E$236,$U104)</f>
        <v>ネットワークにアクセスできる担当者向けに、不正なWebサイトや検索結
果を認識できるようにするためのヒントを含む、高度なソーシャルエンジ
ニアリングに関するサイバーセキュリティ意識トレーニングポリシーを作
成する。</v>
      </c>
      <c r="F104" s="13" t="str">
        <f aca="false">IF($D$4="","",$D$4)</f>
        <v/>
      </c>
      <c r="G104" s="13" t="str">
        <f aca="false">IFERROR(IF(INDEX(評価項目対応!$I$6:$I$236,$U104)="対象","対象",IF(INDEX(評価項目対応!$I$6:$I$236,$U104)="対象外（承認済）","対象外",IF(INDEX(評価項目対応!$I$6:$I$236,$U104)="未確定","n/a",""))),"")</f>
        <v>n/a</v>
      </c>
      <c r="H104" s="25" t="str">
        <f aca="false">IF(ISBLANK(J104),"",IF(J104=5,"Yes",IF(J104=4,"Yes","No")))</f>
        <v/>
      </c>
      <c r="I104" s="18"/>
      <c r="J104" s="26"/>
      <c r="K104" s="18"/>
      <c r="L104" s="18"/>
      <c r="M104" s="11" t="str">
        <f aca="false">IF(INDEX(評価項目対応!$J$6:$J$236,$U104)="","",INDEX(評価項目対応!$J$6:$J$236,$U104))</f>
        <v/>
      </c>
      <c r="N104" s="11" t="str">
        <f aca="false">IF(INDEX(評価項目対応!$N$6:$N$236,$U104)="","",INDEX(評価項目対応!$N$6:$N$236,$U104))</f>
        <v/>
      </c>
      <c r="O104" s="11" t="str">
        <f aca="false">IF(INDEX(評価項目対応!$O$6:$O$236,$U104)="","",INDEX(評価項目対応!$O$6:$O$236,$U104))</f>
        <v/>
      </c>
      <c r="P104" s="27" t="n">
        <f aca="false">COUNTIF(F104:G104,"")+COUNTIF(I104:O104,"")-IF(AND(G104="対象外",K104=""),1,0)</f>
        <v>8</v>
      </c>
      <c r="Q104" s="11" t="str">
        <f aca="false">IF(F104="","会社名コード未設定（D4）",IF(OR(G104="",G104="n/a"),"適用性を確定（評価項目対応I列）",IF(AND(G104="対象外",OR(I104&lt;&gt;"対象外",J104&lt;&gt;"n/a")),"対象外ならR=対象外・S=n/a",IF(AND(G104="対象",OR(I104="対象外",J104="n/a")),"対象なのにR／Sが対象外・n/a",IF(AND(G104="対象",OR(I104="",J104="")),"R・Sを入力",IF(AND(ISNUMBER(J104),ISNUMBER(V104),ABS(N(J104)-N(V104))&gt;=1),"RとSの乖離（案分ならUに明記）",IF(AND(G104="対象",L104=""),"Uに制約・代替策・未検証を記載",IF(AND(G104="対象外",L104=""),"対象外の理由・承認者をUに記載",IF(OR(M104="",N104="",O104=""),"V～Xを入力",IF(P104&gt;0,"未記入あり（P列）","OK"))))))))))</f>
        <v>会社名コード未設定（D4）</v>
      </c>
      <c r="R104" s="11" t="str">
        <f aca="false">IF(INDEX(評価項目対応!$M$6:$M$236,$U104)="","",INDEX(評価項目対応!$M$6:$M$236,$U104))</f>
        <v/>
      </c>
      <c r="S104" s="11" t="str">
        <f aca="false">INDEX(評価項目対応!$H$6:$H$236,$U104)</f>
        <v>社内の教育・IR・報告・承認・定期改善の規程と実績を確認する。未整備は課題化し適用除外しない。</v>
      </c>
      <c r="T104" s="11" t="str">
        <f aca="false">TRIM(IF(INDEX(評価項目対応!$K$6:$K$236,$U104)="","","試験ID: "&amp;INDEX(評価項目対応!$K$6:$K$236,$U104)&amp;"　")&amp;IF(INDEX(評価項目対応!$L$6:$L$236,$U104)="","","判断理由: "&amp;INDEX(評価項目対応!$L$6:$L$236,$U104)))</f>
        <v/>
      </c>
      <c r="U104" s="28" t="n">
        <f aca="false">MATCH($A104,評価項目対応!$A$6:$A$236,0)</f>
        <v>98</v>
      </c>
      <c r="V104" s="28" t="str">
        <f aca="false">IFERROR(VLOOKUP(I104,$X$6:$Y$11,2,FALSE()),"")</f>
        <v/>
      </c>
    </row>
    <row r="105" customFormat="false" ht="49.5" hidden="false" customHeight="true" outlineLevel="0" collapsed="false">
      <c r="A105" s="13" t="n">
        <v>101</v>
      </c>
      <c r="B105" s="13" t="n">
        <f aca="false">INDEX(評価項目対応!$B$6:$B$236,$U105)</f>
        <v>112</v>
      </c>
      <c r="C105" s="13" t="str">
        <f aca="false">INDEX(評価項目対応!$F$6:$F$236,$U105)</f>
        <v>5.08</v>
      </c>
      <c r="D105" s="11" t="str">
        <f aca="false">INDEX(評価項目対応!$D$6:$D$236,$U105)</f>
        <v>セキュリティ教育</v>
      </c>
      <c r="E105" s="11" t="str">
        <f aca="false">INDEX(評価項目対応!$E$6:$E$236,$U105)</f>
        <v>スタッフに最新の情報を提供し、警戒心を持ち続けるために、セキュリテ
ィ意識トレーニングを定期的に繰り返す。</v>
      </c>
      <c r="F105" s="13" t="str">
        <f aca="false">IF($D$4="","",$D$4)</f>
        <v/>
      </c>
      <c r="G105" s="13" t="str">
        <f aca="false">IFERROR(IF(INDEX(評価項目対応!$I$6:$I$236,$U105)="対象","対象",IF(INDEX(評価項目対応!$I$6:$I$236,$U105)="対象外（承認済）","対象外",IF(INDEX(評価項目対応!$I$6:$I$236,$U105)="未確定","n/a",""))),"")</f>
        <v>n/a</v>
      </c>
      <c r="H105" s="25" t="str">
        <f aca="false">IF(ISBLANK(J105),"",IF(J105=5,"Yes",IF(J105=4,"Yes","No")))</f>
        <v/>
      </c>
      <c r="I105" s="18"/>
      <c r="J105" s="26"/>
      <c r="K105" s="18"/>
      <c r="L105" s="18"/>
      <c r="M105" s="11" t="str">
        <f aca="false">IF(INDEX(評価項目対応!$J$6:$J$236,$U105)="","",INDEX(評価項目対応!$J$6:$J$236,$U105))</f>
        <v/>
      </c>
      <c r="N105" s="11" t="str">
        <f aca="false">IF(INDEX(評価項目対応!$N$6:$N$236,$U105)="","",INDEX(評価項目対応!$N$6:$N$236,$U105))</f>
        <v/>
      </c>
      <c r="O105" s="11" t="str">
        <f aca="false">IF(INDEX(評価項目対応!$O$6:$O$236,$U105)="","",INDEX(評価項目対応!$O$6:$O$236,$U105))</f>
        <v/>
      </c>
      <c r="P105" s="27" t="n">
        <f aca="false">COUNTIF(F105:G105,"")+COUNTIF(I105:O105,"")-IF(AND(G105="対象外",K105=""),1,0)</f>
        <v>8</v>
      </c>
      <c r="Q105" s="11" t="str">
        <f aca="false">IF(F105="","会社名コード未設定（D4）",IF(OR(G105="",G105="n/a"),"適用性を確定（評価項目対応I列）",IF(AND(G105="対象外",OR(I105&lt;&gt;"対象外",J105&lt;&gt;"n/a")),"対象外ならR=対象外・S=n/a",IF(AND(G105="対象",OR(I105="対象外",J105="n/a")),"対象なのにR／Sが対象外・n/a",IF(AND(G105="対象",OR(I105="",J105="")),"R・Sを入力",IF(AND(ISNUMBER(J105),ISNUMBER(V105),ABS(N(J105)-N(V105))&gt;=1),"RとSの乖離（案分ならUに明記）",IF(AND(G105="対象",L105=""),"Uに制約・代替策・未検証を記載",IF(AND(G105="対象外",L105=""),"対象外の理由・承認者をUに記載",IF(OR(M105="",N105="",O105=""),"V～Xを入力",IF(P105&gt;0,"未記入あり（P列）","OK"))))))))))</f>
        <v>会社名コード未設定（D4）</v>
      </c>
      <c r="R105" s="11" t="str">
        <f aca="false">IF(INDEX(評価項目対応!$M$6:$M$236,$U105)="","",INDEX(評価項目対応!$M$6:$M$236,$U105))</f>
        <v/>
      </c>
      <c r="S105" s="11" t="str">
        <f aca="false">INDEX(評価項目対応!$H$6:$H$236,$U105)</f>
        <v>社内の教育・IR・報告・承認・定期改善の規程と実績を確認する。未整備は課題化し適用除外しない。</v>
      </c>
      <c r="T105" s="11" t="str">
        <f aca="false">TRIM(IF(INDEX(評価項目対応!$K$6:$K$236,$U105)="","","試験ID: "&amp;INDEX(評価項目対応!$K$6:$K$236,$U105)&amp;"　")&amp;IF(INDEX(評価項目対応!$L$6:$L$236,$U105)="","","判断理由: "&amp;INDEX(評価項目対応!$L$6:$L$236,$U105)))</f>
        <v/>
      </c>
      <c r="U105" s="28" t="n">
        <f aca="false">MATCH($A105,評価項目対応!$A$6:$A$236,0)</f>
        <v>99</v>
      </c>
      <c r="V105" s="28" t="str">
        <f aca="false">IFERROR(VLOOKUP(I105,$X$6:$Y$11,2,FALSE()),"")</f>
        <v/>
      </c>
    </row>
    <row r="106" customFormat="false" ht="63.75" hidden="false" customHeight="true" outlineLevel="0" collapsed="false">
      <c r="A106" s="13" t="n">
        <v>102</v>
      </c>
      <c r="B106" s="13" t="n">
        <f aca="false">INDEX(評価項目対応!$B$6:$B$236,$U106)</f>
        <v>164</v>
      </c>
      <c r="C106" s="13" t="str">
        <f aca="false">INDEX(評価項目対応!$F$6:$F$236,$U106)</f>
        <v>2.03</v>
      </c>
      <c r="D106" s="11" t="str">
        <f aca="false">INDEX(評価項目対応!$D$6:$D$236,$U106)</f>
        <v>認証管理</v>
      </c>
      <c r="E106" s="11" t="str">
        <f aca="false">INDEX(評価項目対応!$E$6:$E$236,$U106)</f>
        <v>AES-256 ビット暗号化を使用した認証のための最新のフェデレーションプ
ロトコル（SAML、OIDC、Kerberos など）を使用する。</v>
      </c>
      <c r="F106" s="13" t="str">
        <f aca="false">IF($D$4="","",$D$4)</f>
        <v/>
      </c>
      <c r="G106" s="13" t="str">
        <f aca="false">IFERROR(IF(INDEX(評価項目対応!$I$6:$I$236,$U106)="対象","対象",IF(INDEX(評価項目対応!$I$6:$I$236,$U106)="対象外（承認済）","対象外",IF(INDEX(評価項目対応!$I$6:$I$236,$U106)="未確定","n/a",""))),"")</f>
        <v>n/a</v>
      </c>
      <c r="H106" s="25" t="str">
        <f aca="false">IF(ISBLANK(J106),"",IF(J106=5,"Yes",IF(J106=4,"Yes","No")))</f>
        <v/>
      </c>
      <c r="I106" s="18"/>
      <c r="J106" s="26"/>
      <c r="K106" s="18"/>
      <c r="L106" s="18"/>
      <c r="M106" s="11" t="str">
        <f aca="false">IF(INDEX(評価項目対応!$J$6:$J$236,$U106)="","",INDEX(評価項目対応!$J$6:$J$236,$U106))</f>
        <v/>
      </c>
      <c r="N106" s="11" t="str">
        <f aca="false">IF(INDEX(評価項目対応!$N$6:$N$236,$U106)="","",INDEX(評価項目対応!$N$6:$N$236,$U106))</f>
        <v/>
      </c>
      <c r="O106" s="11" t="str">
        <f aca="false">IF(INDEX(評価項目対応!$O$6:$O$236,$U106)="","",INDEX(評価項目対応!$O$6:$O$236,$U106))</f>
        <v/>
      </c>
      <c r="P106" s="27" t="n">
        <f aca="false">COUNTIF(F106:G106,"")+COUNTIF(I106:O106,"")-IF(AND(G106="対象外",K106=""),1,0)</f>
        <v>8</v>
      </c>
      <c r="Q106" s="11" t="str">
        <f aca="false">IF(F106="","会社名コード未設定（D4）",IF(OR(G106="",G106="n/a"),"適用性を確定（評価項目対応I列）",IF(AND(G106="対象外",OR(I106&lt;&gt;"対象外",J106&lt;&gt;"n/a")),"対象外ならR=対象外・S=n/a",IF(AND(G106="対象",OR(I106="対象外",J106="n/a")),"対象なのにR／Sが対象外・n/a",IF(AND(G106="対象",OR(I106="",J106="")),"R・Sを入力",IF(AND(ISNUMBER(J106),ISNUMBER(V106),ABS(N(J106)-N(V106))&gt;=1),"RとSの乖離（案分ならUに明記）",IF(AND(G106="対象",L106=""),"Uに制約・代替策・未検証を記載",IF(AND(G106="対象外",L106=""),"対象外の理由・承認者をUに記載",IF(OR(M106="",N106="",O106=""),"V～Xを入力",IF(P106&gt;0,"未記入あり（P列）","OK"))))))))))</f>
        <v>会社名コード未設定（D4）</v>
      </c>
      <c r="R106" s="11" t="str">
        <f aca="false">IF(INDEX(評価項目対応!$M$6:$M$236,$U106)="","",INDEX(評価項目対応!$M$6:$M$236,$U106))</f>
        <v/>
      </c>
      <c r="S106" s="11" t="str">
        <f aca="false">INDEX(評価項目対応!$H$6:$H$236,$U106)</f>
        <v>実際に採用するIdP・SAML／OIDC等の認証方式を確認する。原票の暗号化表現は仕様と照合する。</v>
      </c>
      <c r="T106" s="11" t="str">
        <f aca="false">TRIM(IF(INDEX(評価項目対応!$K$6:$K$236,$U106)="","","試験ID: "&amp;INDEX(評価項目対応!$K$6:$K$236,$U106)&amp;"　")&amp;IF(INDEX(評価項目対応!$L$6:$L$236,$U106)="","","判断理由: "&amp;INDEX(評価項目対応!$L$6:$L$236,$U106)))</f>
        <v/>
      </c>
      <c r="U106" s="28" t="n">
        <f aca="false">MATCH($A106,評価項目対応!$A$6:$A$236,0)</f>
        <v>100</v>
      </c>
      <c r="V106" s="28" t="str">
        <f aca="false">IFERROR(VLOOKUP(I106,$X$6:$Y$11,2,FALSE()),"")</f>
        <v/>
      </c>
    </row>
    <row r="107" customFormat="false" ht="49.5" hidden="false" customHeight="true" outlineLevel="0" collapsed="false">
      <c r="A107" s="13" t="n">
        <v>103</v>
      </c>
      <c r="B107" s="13" t="n">
        <f aca="false">INDEX(評価項目対応!$B$6:$B$236,$U107)</f>
        <v>85</v>
      </c>
      <c r="C107" s="13" t="str">
        <f aca="false">INDEX(評価項目対応!$F$6:$F$236,$U107)</f>
        <v>2.05</v>
      </c>
      <c r="D107" s="11" t="str">
        <f aca="false">INDEX(評価項目対応!$D$6:$D$236,$U107)</f>
        <v>パスワード管理</v>
      </c>
      <c r="E107" s="11" t="str">
        <f aca="false">INDEX(評価項目対応!$E$6:$E$236,$U107)</f>
        <v>パスワードを安全なデータベースに保存し、強力なハッシュアルゴリズム
を使用する。</v>
      </c>
      <c r="F107" s="13" t="str">
        <f aca="false">IF($D$4="","",$D$4)</f>
        <v/>
      </c>
      <c r="G107" s="13" t="str">
        <f aca="false">IFERROR(IF(INDEX(評価項目対応!$I$6:$I$236,$U107)="対象","対象",IF(INDEX(評価項目対応!$I$6:$I$236,$U107)="対象外（承認済）","対象外",IF(INDEX(評価項目対応!$I$6:$I$236,$U107)="未確定","n/a",""))),"")</f>
        <v>n/a</v>
      </c>
      <c r="H107" s="25" t="str">
        <f aca="false">IF(ISBLANK(J107),"",IF(J107=5,"Yes",IF(J107=4,"Yes","No")))</f>
        <v/>
      </c>
      <c r="I107" s="18"/>
      <c r="J107" s="26"/>
      <c r="K107" s="18"/>
      <c r="L107" s="18"/>
      <c r="M107" s="11" t="str">
        <f aca="false">IF(INDEX(評価項目対応!$J$6:$J$236,$U107)="","",INDEX(評価項目対応!$J$6:$J$236,$U107))</f>
        <v/>
      </c>
      <c r="N107" s="11" t="str">
        <f aca="false">IF(INDEX(評価項目対応!$N$6:$N$236,$U107)="","",INDEX(評価項目対応!$N$6:$N$236,$U107))</f>
        <v/>
      </c>
      <c r="O107" s="11" t="str">
        <f aca="false">IF(INDEX(評価項目対応!$O$6:$O$236,$U107)="","",INDEX(評価項目対応!$O$6:$O$236,$U107))</f>
        <v/>
      </c>
      <c r="P107" s="27" t="n">
        <f aca="false">COUNTIF(F107:G107,"")+COUNTIF(I107:O107,"")-IF(AND(G107="対象外",K107=""),1,0)</f>
        <v>8</v>
      </c>
      <c r="Q107" s="11" t="str">
        <f aca="false">IF(F107="","会社名コード未設定（D4）",IF(OR(G107="",G107="n/a"),"適用性を確定（評価項目対応I列）",IF(AND(G107="対象外",OR(I107&lt;&gt;"対象外",J107&lt;&gt;"n/a")),"対象外ならR=対象外・S=n/a",IF(AND(G107="対象",OR(I107="対象外",J107="n/a")),"対象なのにR／Sが対象外・n/a",IF(AND(G107="対象",OR(I107="",J107="")),"R・Sを入力",IF(AND(ISNUMBER(J107),ISNUMBER(V107),ABS(N(J107)-N(V107))&gt;=1),"RとSの乖離（案分ならUに明記）",IF(AND(G107="対象",L107=""),"Uに制約・代替策・未検証を記載",IF(AND(G107="対象外",L107=""),"対象外の理由・承認者をUに記載",IF(OR(M107="",N107="",O107=""),"V～Xを入力",IF(P107&gt;0,"未記入あり（P列）","OK"))))))))))</f>
        <v>会社名コード未設定（D4）</v>
      </c>
      <c r="R107" s="11" t="str">
        <f aca="false">IF(INDEX(評価項目対応!$M$6:$M$236,$U107)="","",INDEX(評価項目対応!$M$6:$M$236,$U107))</f>
        <v/>
      </c>
      <c r="S107" s="11" t="str">
        <f aca="false">INDEX(評価項目対応!$H$6:$H$236,$U107)</f>
        <v>認証情報保護、保存制限、認証失敗監視を原要求と比較する。非対応機能は代替策と差分を記録する。</v>
      </c>
      <c r="T107" s="11" t="str">
        <f aca="false">TRIM(IF(INDEX(評価項目対応!$K$6:$K$236,$U107)="","","試験ID: "&amp;INDEX(評価項目対応!$K$6:$K$236,$U107)&amp;"　")&amp;IF(INDEX(評価項目対応!$L$6:$L$236,$U107)="","","判断理由: "&amp;INDEX(評価項目対応!$L$6:$L$236,$U107)))</f>
        <v/>
      </c>
      <c r="U107" s="28" t="n">
        <f aca="false">MATCH($A107,評価項目対応!$A$6:$A$236,0)</f>
        <v>101</v>
      </c>
      <c r="V107" s="28" t="str">
        <f aca="false">IFERROR(VLOOKUP(I107,$X$6:$Y$11,2,FALSE()),"")</f>
        <v/>
      </c>
    </row>
    <row r="108" customFormat="false" ht="78" hidden="false" customHeight="true" outlineLevel="0" collapsed="false">
      <c r="A108" s="13" t="n">
        <v>104</v>
      </c>
      <c r="B108" s="13" t="n">
        <f aca="false">INDEX(評価項目対応!$B$6:$B$236,$U108)</f>
        <v>113</v>
      </c>
      <c r="C108" s="13" t="str">
        <f aca="false">INDEX(評価項目対応!$F$6:$F$236,$U108)</f>
        <v>4.03</v>
      </c>
      <c r="D108" s="11" t="str">
        <f aca="false">INDEX(評価項目対応!$D$6:$D$236,$U108)</f>
        <v>DNSセキュリティ</v>
      </c>
      <c r="E108" s="11" t="str">
        <f aca="false">INDEX(評価項目対応!$E$6:$E$236,$U108)</f>
        <v>ソースで悪意のあるインターネットアクティビティをブロックすることに
より、Protective DNS（FW,AVを補完）サービスはリモートワーカーに高
いネットワークセキュリティを提供できる。</v>
      </c>
      <c r="F108" s="13" t="str">
        <f aca="false">IF($D$4="","",$D$4)</f>
        <v/>
      </c>
      <c r="G108" s="13" t="str">
        <f aca="false">IFERROR(IF(INDEX(評価項目対応!$I$6:$I$236,$U108)="対象","対象",IF(INDEX(評価項目対応!$I$6:$I$236,$U108)="対象外（承認済）","対象外",IF(INDEX(評価項目対応!$I$6:$I$236,$U108)="未確定","n/a",""))),"")</f>
        <v>n/a</v>
      </c>
      <c r="H108" s="25" t="str">
        <f aca="false">IF(ISBLANK(J108),"",IF(J108=5,"Yes",IF(J108=4,"Yes","No")))</f>
        <v/>
      </c>
      <c r="I108" s="18"/>
      <c r="J108" s="26"/>
      <c r="K108" s="18"/>
      <c r="L108" s="18"/>
      <c r="M108" s="11" t="str">
        <f aca="false">IF(INDEX(評価項目対応!$J$6:$J$236,$U108)="","",INDEX(評価項目対応!$J$6:$J$236,$U108))</f>
        <v/>
      </c>
      <c r="N108" s="11" t="str">
        <f aca="false">IF(INDEX(評価項目対応!$N$6:$N$236,$U108)="","",INDEX(評価項目対応!$N$6:$N$236,$U108))</f>
        <v/>
      </c>
      <c r="O108" s="11" t="str">
        <f aca="false">IF(INDEX(評価項目対応!$O$6:$O$236,$U108)="","",INDEX(評価項目対応!$O$6:$O$236,$U108))</f>
        <v/>
      </c>
      <c r="P108" s="27" t="n">
        <f aca="false">COUNTIF(F108:G108,"")+COUNTIF(I108:O108,"")-IF(AND(G108="対象外",K108=""),1,0)</f>
        <v>8</v>
      </c>
      <c r="Q108" s="11" t="str">
        <f aca="false">IF(F108="","会社名コード未設定（D4）",IF(OR(G108="",G108="n/a"),"適用性を確定（評価項目対応I列）",IF(AND(G108="対象外",OR(I108&lt;&gt;"対象外",J108&lt;&gt;"n/a")),"対象外ならR=対象外・S=n/a",IF(AND(G108="対象",OR(I108="対象外",J108="n/a")),"対象なのにR／Sが対象外・n/a",IF(AND(G108="対象",OR(I108="",J108="")),"R・Sを入力",IF(AND(ISNUMBER(J108),ISNUMBER(V108),ABS(N(J108)-N(V108))&gt;=1),"RとSの乖離（案分ならUに明記）",IF(AND(G108="対象",L108=""),"Uに制約・代替策・未検証を記載",IF(AND(G108="対象外",L108=""),"対象外の理由・承認者をUに記載",IF(OR(M108="",N108="",O108=""),"V～Xを入力",IF(P108&gt;0,"未記入あり（P列）","OK"))))))))))</f>
        <v>会社名コード未設定（D4）</v>
      </c>
      <c r="R108" s="11" t="str">
        <f aca="false">IF(INDEX(評価項目対応!$M$6:$M$236,$U108)="","",INDEX(評価項目対応!$M$6:$M$236,$U108))</f>
        <v/>
      </c>
      <c r="S108" s="11" t="str">
        <f aca="false">INDEX(評価項目対応!$H$6:$H$236,$U108)</f>
        <v>会社・外部ネットワークの経路、VPN認証、DNS／FW制御と構成図の保管を確認する。</v>
      </c>
      <c r="T108" s="11" t="str">
        <f aca="false">TRIM(IF(INDEX(評価項目対応!$K$6:$K$236,$U108)="","","試験ID: "&amp;INDEX(評価項目対応!$K$6:$K$236,$U108)&amp;"　")&amp;IF(INDEX(評価項目対応!$L$6:$L$236,$U108)="","","判断理由: "&amp;INDEX(評価項目対応!$L$6:$L$236,$U108)))</f>
        <v/>
      </c>
      <c r="U108" s="28" t="n">
        <f aca="false">MATCH($A108,評価項目対応!$A$6:$A$236,0)</f>
        <v>102</v>
      </c>
      <c r="V108" s="28" t="str">
        <f aca="false">IFERROR(VLOOKUP(I108,$X$6:$Y$11,2,FALSE()),"")</f>
        <v/>
      </c>
    </row>
    <row r="109" customFormat="false" ht="49.5" hidden="false" customHeight="true" outlineLevel="0" collapsed="false">
      <c r="A109" s="13" t="n">
        <v>105</v>
      </c>
      <c r="B109" s="13" t="n">
        <f aca="false">INDEX(評価項目対応!$B$6:$B$236,$U109)</f>
        <v>94</v>
      </c>
      <c r="C109" s="13" t="str">
        <f aca="false">INDEX(評価項目対応!$F$6:$F$236,$U109)</f>
        <v>4.08</v>
      </c>
      <c r="D109" s="11" t="str">
        <f aca="false">INDEX(評価項目対応!$D$6:$D$236,$U109)</f>
        <v>メール管理</v>
      </c>
      <c r="E109" s="11" t="str">
        <f aca="false">INDEX(評価項目対応!$E$6:$E$236,$U109)</f>
        <v>電子メールクライアントで外部電子メールにフラグを付ける。</v>
      </c>
      <c r="F109" s="13" t="str">
        <f aca="false">IF($D$4="","",$D$4)</f>
        <v/>
      </c>
      <c r="G109" s="13" t="str">
        <f aca="false">IFERROR(IF(INDEX(評価項目対応!$I$6:$I$236,$U109)="対象","対象",IF(INDEX(評価項目対応!$I$6:$I$236,$U109)="対象外（承認済）","対象外",IF(INDEX(評価項目対応!$I$6:$I$236,$U109)="未確定","n/a",""))),"")</f>
        <v>n/a</v>
      </c>
      <c r="H109" s="25" t="str">
        <f aca="false">IF(ISBLANK(J109),"",IF(J109=5,"Yes",IF(J109=4,"Yes","No")))</f>
        <v/>
      </c>
      <c r="I109" s="18"/>
      <c r="J109" s="26"/>
      <c r="K109" s="18"/>
      <c r="L109" s="18"/>
      <c r="M109" s="11" t="str">
        <f aca="false">IF(INDEX(評価項目対応!$J$6:$J$236,$U109)="","",INDEX(評価項目対応!$J$6:$J$236,$U109))</f>
        <v/>
      </c>
      <c r="N109" s="11" t="str">
        <f aca="false">IF(INDEX(評価項目対応!$N$6:$N$236,$U109)="","",INDEX(評価項目対応!$N$6:$N$236,$U109))</f>
        <v/>
      </c>
      <c r="O109" s="11" t="str">
        <f aca="false">IF(INDEX(評価項目対応!$O$6:$O$236,$U109)="","",INDEX(評価項目対応!$O$6:$O$236,$U109))</f>
        <v/>
      </c>
      <c r="P109" s="27" t="n">
        <f aca="false">COUNTIF(F109:G109,"")+COUNTIF(I109:O109,"")-IF(AND(G109="対象外",K109=""),1,0)</f>
        <v>8</v>
      </c>
      <c r="Q109" s="11" t="str">
        <f aca="false">IF(F109="","会社名コード未設定（D4）",IF(OR(G109="",G109="n/a"),"適用性を確定（評価項目対応I列）",IF(AND(G109="対象外",OR(I109&lt;&gt;"対象外",J109&lt;&gt;"n/a")),"対象外ならR=対象外・S=n/a",IF(AND(G109="対象",OR(I109="対象外",J109="n/a")),"対象なのにR／Sが対象外・n/a",IF(AND(G109="対象",OR(I109="",J109="")),"R・Sを入力",IF(AND(ISNUMBER(J109),ISNUMBER(V109),ABS(N(J109)-N(V109))&gt;=1),"RとSの乖離（案分ならUに明記）",IF(AND(G109="対象",L109=""),"Uに制約・代替策・未検証を記載",IF(AND(G109="対象外",L109=""),"対象外の理由・承認者をUに記載",IF(OR(M109="",N109="",O109=""),"V～Xを入力",IF(P109&gt;0,"未記入あり（P列）","OK"))))))))))</f>
        <v>会社名コード未設定（D4）</v>
      </c>
      <c r="R109" s="11" t="str">
        <f aca="false">IF(INDEX(評価項目対応!$M$6:$M$236,$U109)="","",INDEX(評価項目対応!$M$6:$M$236,$U109))</f>
        <v/>
      </c>
      <c r="S109" s="11" t="str">
        <f aca="false">INDEX(評価項目対応!$H$6:$H$236,$U109)</f>
        <v>メール対策は既存管理者の証跡を引用。Web版ExcelのVBA非実行は公式仕様で確認し、VDI側のOffice設定は責任者に確認する。</v>
      </c>
      <c r="T109" s="11" t="str">
        <f aca="false">TRIM(IF(INDEX(評価項目対応!$K$6:$K$236,$U109)="","","試験ID: "&amp;INDEX(評価項目対応!$K$6:$K$236,$U109)&amp;"　")&amp;IF(INDEX(評価項目対応!$L$6:$L$236,$U109)="","","判断理由: "&amp;INDEX(評価項目対応!$L$6:$L$236,$U109)))</f>
        <v/>
      </c>
      <c r="U109" s="28" t="n">
        <f aca="false">MATCH($A109,評価項目対応!$A$6:$A$236,0)</f>
        <v>103</v>
      </c>
      <c r="V109" s="28" t="str">
        <f aca="false">IFERROR(VLOOKUP(I109,$X$6:$Y$11,2,FALSE()),"")</f>
        <v/>
      </c>
    </row>
    <row r="110" customFormat="false" ht="78" hidden="false" customHeight="true" outlineLevel="0" collapsed="false">
      <c r="A110" s="13" t="n">
        <v>106</v>
      </c>
      <c r="B110" s="13" t="n">
        <f aca="false">INDEX(評価項目対応!$B$6:$B$236,$U110)</f>
        <v>95</v>
      </c>
      <c r="C110" s="13" t="str">
        <f aca="false">INDEX(評価項目対応!$F$6:$F$236,$U110)</f>
        <v>4.08</v>
      </c>
      <c r="D110" s="11" t="str">
        <f aca="false">INDEX(評価項目対応!$D$6:$D$236,$U110)</f>
        <v>メール管理</v>
      </c>
      <c r="E110" s="11" t="str">
        <f aca="false">INDEX(評価項目対応!$E$6:$E$236,$U110)</f>
        <v>既知の悪意のある件名や不審なIPアドレスなど、既知の悪意のある指標を
含む電子メールをフィルタリングするために、電子メールゲートウェイで
フィルターを実装する。</v>
      </c>
      <c r="F110" s="13" t="str">
        <f aca="false">IF($D$4="","",$D$4)</f>
        <v/>
      </c>
      <c r="G110" s="13" t="str">
        <f aca="false">IFERROR(IF(INDEX(評価項目対応!$I$6:$I$236,$U110)="対象","対象",IF(INDEX(評価項目対応!$I$6:$I$236,$U110)="対象外（承認済）","対象外",IF(INDEX(評価項目対応!$I$6:$I$236,$U110)="未確定","n/a",""))),"")</f>
        <v>n/a</v>
      </c>
      <c r="H110" s="25" t="str">
        <f aca="false">IF(ISBLANK(J110),"",IF(J110=5,"Yes",IF(J110=4,"Yes","No")))</f>
        <v/>
      </c>
      <c r="I110" s="18"/>
      <c r="J110" s="26"/>
      <c r="K110" s="18"/>
      <c r="L110" s="18"/>
      <c r="M110" s="11" t="str">
        <f aca="false">IF(INDEX(評価項目対応!$J$6:$J$236,$U110)="","",INDEX(評価項目対応!$J$6:$J$236,$U110))</f>
        <v/>
      </c>
      <c r="N110" s="11" t="str">
        <f aca="false">IF(INDEX(評価項目対応!$N$6:$N$236,$U110)="","",INDEX(評価項目対応!$N$6:$N$236,$U110))</f>
        <v/>
      </c>
      <c r="O110" s="11" t="str">
        <f aca="false">IF(INDEX(評価項目対応!$O$6:$O$236,$U110)="","",INDEX(評価項目対応!$O$6:$O$236,$U110))</f>
        <v/>
      </c>
      <c r="P110" s="27" t="n">
        <f aca="false">COUNTIF(F110:G110,"")+COUNTIF(I110:O110,"")-IF(AND(G110="対象外",K110=""),1,0)</f>
        <v>8</v>
      </c>
      <c r="Q110" s="11" t="str">
        <f aca="false">IF(F110="","会社名コード未設定（D4）",IF(OR(G110="",G110="n/a"),"適用性を確定（評価項目対応I列）",IF(AND(G110="対象外",OR(I110&lt;&gt;"対象外",J110&lt;&gt;"n/a")),"対象外ならR=対象外・S=n/a",IF(AND(G110="対象",OR(I110="対象外",J110="n/a")),"対象なのにR／Sが対象外・n/a",IF(AND(G110="対象",OR(I110="",J110="")),"R・Sを入力",IF(AND(ISNUMBER(J110),ISNUMBER(V110),ABS(N(J110)-N(V110))&gt;=1),"RとSの乖離（案分ならUに明記）",IF(AND(G110="対象",L110=""),"Uに制約・代替策・未検証を記載",IF(AND(G110="対象外",L110=""),"対象外の理由・承認者をUに記載",IF(OR(M110="",N110="",O110=""),"V～Xを入力",IF(P110&gt;0,"未記入あり（P列）","OK"))))))))))</f>
        <v>会社名コード未設定（D4）</v>
      </c>
      <c r="R110" s="11" t="str">
        <f aca="false">IF(INDEX(評価項目対応!$M$6:$M$236,$U110)="","",INDEX(評価項目対応!$M$6:$M$236,$U110))</f>
        <v/>
      </c>
      <c r="S110" s="11" t="str">
        <f aca="false">INDEX(評価項目対応!$H$6:$H$236,$U110)</f>
        <v>メール対策は既存管理者の証跡を引用。Web版ExcelのVBA非実行は公式仕様で確認し、VDI側のOffice設定は責任者に確認する。</v>
      </c>
      <c r="T110" s="11" t="str">
        <f aca="false">TRIM(IF(INDEX(評価項目対応!$K$6:$K$236,$U110)="","","試験ID: "&amp;INDEX(評価項目対応!$K$6:$K$236,$U110)&amp;"　")&amp;IF(INDEX(評価項目対応!$L$6:$L$236,$U110)="","","判断理由: "&amp;INDEX(評価項目対応!$L$6:$L$236,$U110)))</f>
        <v/>
      </c>
      <c r="U110" s="28" t="n">
        <f aca="false">MATCH($A110,評価項目対応!$A$6:$A$236,0)</f>
        <v>104</v>
      </c>
      <c r="V110" s="28" t="str">
        <f aca="false">IFERROR(VLOOKUP(I110,$X$6:$Y$11,2,FALSE()),"")</f>
        <v/>
      </c>
    </row>
    <row r="111" customFormat="false" ht="63.75" hidden="false" customHeight="true" outlineLevel="0" collapsed="false">
      <c r="A111" s="13" t="n">
        <v>107</v>
      </c>
      <c r="B111" s="13" t="n">
        <f aca="false">INDEX(評価項目対応!$B$6:$B$236,$U111)</f>
        <v>97</v>
      </c>
      <c r="C111" s="13" t="str">
        <f aca="false">INDEX(評価項目対応!$F$6:$F$236,$U111)</f>
        <v>4.08</v>
      </c>
      <c r="D111" s="11" t="str">
        <f aca="false">INDEX(評価項目対応!$D$6:$D$236,$U111)</f>
        <v>メール管理</v>
      </c>
      <c r="E111" s="11" t="str">
        <f aca="false">INDEX(評価項目対応!$E$6:$E$236,$U111)</f>
        <v>一般的にマルウェアを含み、電子メールで送信すべきでないファイルタイ
プを制限するために、一般的な添付ファイルフィルターを有効にする。</v>
      </c>
      <c r="F111" s="13" t="str">
        <f aca="false">IF($D$4="","",$D$4)</f>
        <v/>
      </c>
      <c r="G111" s="13" t="str">
        <f aca="false">IFERROR(IF(INDEX(評価項目対応!$I$6:$I$236,$U111)="対象","対象",IF(INDEX(評価項目対応!$I$6:$I$236,$U111)="対象外（承認済）","対象外",IF(INDEX(評価項目対応!$I$6:$I$236,$U111)="未確定","n/a",""))),"")</f>
        <v>n/a</v>
      </c>
      <c r="H111" s="25" t="str">
        <f aca="false">IF(ISBLANK(J111),"",IF(J111=5,"Yes",IF(J111=4,"Yes","No")))</f>
        <v/>
      </c>
      <c r="I111" s="18"/>
      <c r="J111" s="26"/>
      <c r="K111" s="18"/>
      <c r="L111" s="18"/>
      <c r="M111" s="11" t="str">
        <f aca="false">IF(INDEX(評価項目対応!$J$6:$J$236,$U111)="","",INDEX(評価項目対応!$J$6:$J$236,$U111))</f>
        <v/>
      </c>
      <c r="N111" s="11" t="str">
        <f aca="false">IF(INDEX(評価項目対応!$N$6:$N$236,$U111)="","",INDEX(評価項目対応!$N$6:$N$236,$U111))</f>
        <v/>
      </c>
      <c r="O111" s="11" t="str">
        <f aca="false">IF(INDEX(評価項目対応!$O$6:$O$236,$U111)="","",INDEX(評価項目対応!$O$6:$O$236,$U111))</f>
        <v/>
      </c>
      <c r="P111" s="27" t="n">
        <f aca="false">COUNTIF(F111:G111,"")+COUNTIF(I111:O111,"")-IF(AND(G111="対象外",K111=""),1,0)</f>
        <v>8</v>
      </c>
      <c r="Q111" s="11" t="str">
        <f aca="false">IF(F111="","会社名コード未設定（D4）",IF(OR(G111="",G111="n/a"),"適用性を確定（評価項目対応I列）",IF(AND(G111="対象外",OR(I111&lt;&gt;"対象外",J111&lt;&gt;"n/a")),"対象外ならR=対象外・S=n/a",IF(AND(G111="対象",OR(I111="対象外",J111="n/a")),"対象なのにR／Sが対象外・n/a",IF(AND(G111="対象",OR(I111="",J111="")),"R・Sを入力",IF(AND(ISNUMBER(J111),ISNUMBER(V111),ABS(N(J111)-N(V111))&gt;=1),"RとSの乖離（案分ならUに明記）",IF(AND(G111="対象",L111=""),"Uに制約・代替策・未検証を記載",IF(AND(G111="対象外",L111=""),"対象外の理由・承認者をUに記載",IF(OR(M111="",N111="",O111=""),"V～Xを入力",IF(P111&gt;0,"未記入あり（P列）","OK"))))))))))</f>
        <v>会社名コード未設定（D4）</v>
      </c>
      <c r="R111" s="11" t="str">
        <f aca="false">IF(INDEX(評価項目対応!$M$6:$M$236,$U111)="","",INDEX(評価項目対応!$M$6:$M$236,$U111))</f>
        <v/>
      </c>
      <c r="S111" s="11" t="str">
        <f aca="false">INDEX(評価項目対応!$H$6:$H$236,$U111)</f>
        <v>メール対策は既存管理者の証跡を引用。Web版ExcelのVBA非実行は公式仕様で確認し、VDI側のOffice設定は責任者に確認する。</v>
      </c>
      <c r="T111" s="11" t="str">
        <f aca="false">TRIM(IF(INDEX(評価項目対応!$K$6:$K$236,$U111)="","","試験ID: "&amp;INDEX(評価項目対応!$K$6:$K$236,$U111)&amp;"　")&amp;IF(INDEX(評価項目対応!$L$6:$L$236,$U111)="","","判断理由: "&amp;INDEX(評価項目対応!$L$6:$L$236,$U111)))</f>
        <v/>
      </c>
      <c r="U111" s="28" t="n">
        <f aca="false">MATCH($A111,評価項目対応!$A$6:$A$236,0)</f>
        <v>105</v>
      </c>
      <c r="V111" s="28" t="str">
        <f aca="false">IFERROR(VLOOKUP(I111,$X$6:$Y$11,2,FALSE()),"")</f>
        <v/>
      </c>
    </row>
    <row r="112" customFormat="false" ht="63.75" hidden="false" customHeight="true" outlineLevel="0" collapsed="false">
      <c r="A112" s="13" t="n">
        <v>108</v>
      </c>
      <c r="B112" s="13" t="n">
        <f aca="false">INDEX(評価項目対応!$B$6:$B$236,$U112)</f>
        <v>98</v>
      </c>
      <c r="C112" s="13" t="str">
        <f aca="false">INDEX(評価項目対応!$F$6:$F$236,$U112)</f>
        <v>4.08</v>
      </c>
      <c r="D112" s="11" t="str">
        <f aca="false">INDEX(評価項目対応!$D$6:$D$236,$U112)</f>
        <v>メール管理</v>
      </c>
      <c r="E112" s="11" t="str">
        <f aca="false">INDEX(評価項目対応!$E$6:$E$236,$U112)</f>
        <v>少なくとも半年に1回、フィルターリストのファイルタイプをレビューし
、攻撃のベクトルになったその他のファイルタイプを追加する。</v>
      </c>
      <c r="F112" s="13" t="str">
        <f aca="false">IF($D$4="","",$D$4)</f>
        <v/>
      </c>
      <c r="G112" s="13" t="str">
        <f aca="false">IFERROR(IF(INDEX(評価項目対応!$I$6:$I$236,$U112)="対象","対象",IF(INDEX(評価項目対応!$I$6:$I$236,$U112)="対象外（承認済）","対象外",IF(INDEX(評価項目対応!$I$6:$I$236,$U112)="未確定","n/a",""))),"")</f>
        <v>n/a</v>
      </c>
      <c r="H112" s="25" t="str">
        <f aca="false">IF(ISBLANK(J112),"",IF(J112=5,"Yes",IF(J112=4,"Yes","No")))</f>
        <v/>
      </c>
      <c r="I112" s="18"/>
      <c r="J112" s="26"/>
      <c r="K112" s="18"/>
      <c r="L112" s="18"/>
      <c r="M112" s="11" t="str">
        <f aca="false">IF(INDEX(評価項目対応!$J$6:$J$236,$U112)="","",INDEX(評価項目対応!$J$6:$J$236,$U112))</f>
        <v/>
      </c>
      <c r="N112" s="11" t="str">
        <f aca="false">IF(INDEX(評価項目対応!$N$6:$N$236,$U112)="","",INDEX(評価項目対応!$N$6:$N$236,$U112))</f>
        <v/>
      </c>
      <c r="O112" s="11" t="str">
        <f aca="false">IF(INDEX(評価項目対応!$O$6:$O$236,$U112)="","",INDEX(評価項目対応!$O$6:$O$236,$U112))</f>
        <v/>
      </c>
      <c r="P112" s="27" t="n">
        <f aca="false">COUNTIF(F112:G112,"")+COUNTIF(I112:O112,"")-IF(AND(G112="対象外",K112=""),1,0)</f>
        <v>8</v>
      </c>
      <c r="Q112" s="11" t="str">
        <f aca="false">IF(F112="","会社名コード未設定（D4）",IF(OR(G112="",G112="n/a"),"適用性を確定（評価項目対応I列）",IF(AND(G112="対象外",OR(I112&lt;&gt;"対象外",J112&lt;&gt;"n/a")),"対象外ならR=対象外・S=n/a",IF(AND(G112="対象",OR(I112="対象外",J112="n/a")),"対象なのにR／Sが対象外・n/a",IF(AND(G112="対象",OR(I112="",J112="")),"R・Sを入力",IF(AND(ISNUMBER(J112),ISNUMBER(V112),ABS(N(J112)-N(V112))&gt;=1),"RとSの乖離（案分ならUに明記）",IF(AND(G112="対象",L112=""),"Uに制約・代替策・未検証を記載",IF(AND(G112="対象外",L112=""),"対象外の理由・承認者をUに記載",IF(OR(M112="",N112="",O112=""),"V～Xを入力",IF(P112&gt;0,"未記入あり（P列）","OK"))))))))))</f>
        <v>会社名コード未設定（D4）</v>
      </c>
      <c r="R112" s="11" t="str">
        <f aca="false">IF(INDEX(評価項目対応!$M$6:$M$236,$U112)="","",INDEX(評価項目対応!$M$6:$M$236,$U112))</f>
        <v/>
      </c>
      <c r="S112" s="11" t="str">
        <f aca="false">INDEX(評価項目対応!$H$6:$H$236,$U112)</f>
        <v>メール対策は既存管理者の証跡を引用。Web版ExcelのVBA非実行は公式仕様で確認し、VDI側のOffice設定は責任者に確認する。</v>
      </c>
      <c r="T112" s="11" t="str">
        <f aca="false">TRIM(IF(INDEX(評価項目対応!$K$6:$K$236,$U112)="","","試験ID: "&amp;INDEX(評価項目対応!$K$6:$K$236,$U112)&amp;"　")&amp;IF(INDEX(評価項目対応!$L$6:$L$236,$U112)="","","判断理由: "&amp;INDEX(評価項目対応!$L$6:$L$236,$U112)))</f>
        <v/>
      </c>
      <c r="U112" s="28" t="n">
        <f aca="false">MATCH($A112,評価項目対応!$A$6:$A$236,0)</f>
        <v>106</v>
      </c>
      <c r="V112" s="28" t="str">
        <f aca="false">IFERROR(VLOOKUP(I112,$X$6:$Y$11,2,FALSE()),"")</f>
        <v/>
      </c>
    </row>
    <row r="113" customFormat="false" ht="78" hidden="false" customHeight="true" outlineLevel="0" collapsed="false">
      <c r="A113" s="13" t="n">
        <v>109</v>
      </c>
      <c r="B113" s="13" t="n">
        <f aca="false">INDEX(評価項目対応!$B$6:$B$236,$U113)</f>
        <v>99</v>
      </c>
      <c r="C113" s="13" t="str">
        <f aca="false">INDEX(評価項目対応!$F$6:$F$236,$U113)</f>
        <v>4.08</v>
      </c>
      <c r="D113" s="11" t="str">
        <f aca="false">INDEX(評価項目対応!$D$6:$D$236,$U113)</f>
        <v>メール管理</v>
      </c>
      <c r="E113" s="11" t="str">
        <f aca="false">INDEX(評価項目対応!$E$6:$E$236,$U113)</f>
        <v>Domain-based Message Authentication Reporting and Conformance（DMA
RC）ポリシーと検証を実装し、有効なドメインからのなりすましメールや
改ざんメールの可能性を下げる。</v>
      </c>
      <c r="F113" s="13" t="str">
        <f aca="false">IF($D$4="","",$D$4)</f>
        <v/>
      </c>
      <c r="G113" s="13" t="str">
        <f aca="false">IFERROR(IF(INDEX(評価項目対応!$I$6:$I$236,$U113)="対象","対象",IF(INDEX(評価項目対応!$I$6:$I$236,$U113)="対象外（承認済）","対象外",IF(INDEX(評価項目対応!$I$6:$I$236,$U113)="未確定","n/a",""))),"")</f>
        <v>n/a</v>
      </c>
      <c r="H113" s="25" t="str">
        <f aca="false">IF(ISBLANK(J113),"",IF(J113=5,"Yes",IF(J113=4,"Yes","No")))</f>
        <v/>
      </c>
      <c r="I113" s="18"/>
      <c r="J113" s="26"/>
      <c r="K113" s="18"/>
      <c r="L113" s="18"/>
      <c r="M113" s="11" t="str">
        <f aca="false">IF(INDEX(評価項目対応!$J$6:$J$236,$U113)="","",INDEX(評価項目対応!$J$6:$J$236,$U113))</f>
        <v/>
      </c>
      <c r="N113" s="11" t="str">
        <f aca="false">IF(INDEX(評価項目対応!$N$6:$N$236,$U113)="","",INDEX(評価項目対応!$N$6:$N$236,$U113))</f>
        <v/>
      </c>
      <c r="O113" s="11" t="str">
        <f aca="false">IF(INDEX(評価項目対応!$O$6:$O$236,$U113)="","",INDEX(評価項目対応!$O$6:$O$236,$U113))</f>
        <v/>
      </c>
      <c r="P113" s="27" t="n">
        <f aca="false">COUNTIF(F113:G113,"")+COUNTIF(I113:O113,"")-IF(AND(G113="対象外",K113=""),1,0)</f>
        <v>8</v>
      </c>
      <c r="Q113" s="11" t="str">
        <f aca="false">IF(F113="","会社名コード未設定（D4）",IF(OR(G113="",G113="n/a"),"適用性を確定（評価項目対応I列）",IF(AND(G113="対象外",OR(I113&lt;&gt;"対象外",J113&lt;&gt;"n/a")),"対象外ならR=対象外・S=n/a",IF(AND(G113="対象",OR(I113="対象外",J113="n/a")),"対象なのにR／Sが対象外・n/a",IF(AND(G113="対象",OR(I113="",J113="")),"R・Sを入力",IF(AND(ISNUMBER(J113),ISNUMBER(V113),ABS(N(J113)-N(V113))&gt;=1),"RとSの乖離（案分ならUに明記）",IF(AND(G113="対象",L113=""),"Uに制約・代替策・未検証を記載",IF(AND(G113="対象外",L113=""),"対象外の理由・承認者をUに記載",IF(OR(M113="",N113="",O113=""),"V～Xを入力",IF(P113&gt;0,"未記入あり（P列）","OK"))))))))))</f>
        <v>会社名コード未設定（D4）</v>
      </c>
      <c r="R113" s="11" t="str">
        <f aca="false">IF(INDEX(評価項目対応!$M$6:$M$236,$U113)="","",INDEX(評価項目対応!$M$6:$M$236,$U113))</f>
        <v/>
      </c>
      <c r="S113" s="11" t="str">
        <f aca="false">INDEX(評価項目対応!$H$6:$H$236,$U113)</f>
        <v>メール対策は既存管理者の証跡を引用。Web版ExcelのVBA非実行は公式仕様で確認し、VDI側のOffice設定は責任者に確認する。</v>
      </c>
      <c r="T113" s="11" t="str">
        <f aca="false">TRIM(IF(INDEX(評価項目対応!$K$6:$K$236,$U113)="","","試験ID: "&amp;INDEX(評価項目対応!$K$6:$K$236,$U113)&amp;"　")&amp;IF(INDEX(評価項目対応!$L$6:$L$236,$U113)="","","判断理由: "&amp;INDEX(評価項目対応!$L$6:$L$236,$U113)))</f>
        <v/>
      </c>
      <c r="U113" s="28" t="n">
        <f aca="false">MATCH($A113,評価項目対応!$A$6:$A$236,0)</f>
        <v>107</v>
      </c>
      <c r="V113" s="28" t="str">
        <f aca="false">IFERROR(VLOOKUP(I113,$X$6:$Y$11,2,FALSE()),"")</f>
        <v/>
      </c>
    </row>
    <row r="114" customFormat="false" ht="63.75" hidden="false" customHeight="true" outlineLevel="0" collapsed="false">
      <c r="A114" s="13" t="n">
        <v>110</v>
      </c>
      <c r="B114" s="13" t="n">
        <f aca="false">INDEX(評価項目対応!$B$6:$B$236,$U114)</f>
        <v>101</v>
      </c>
      <c r="C114" s="13" t="str">
        <f aca="false">INDEX(評価項目対応!$F$6:$F$236,$U114)</f>
        <v>4.04a</v>
      </c>
      <c r="D114" s="11" t="str">
        <f aca="false">INDEX(評価項目対応!$D$6:$D$236,$U114)</f>
        <v>スクリプト管理</v>
      </c>
      <c r="E114" s="11" t="str">
        <f aca="false">INDEX(評価項目対応!$E$6:$E$236,$U114)</f>
        <v>Windows Script Host（WSH）を無効にする。
（Windows Script Hostingは、ユーザーがスクリプトを実行したりタスク
を実行したりできる環境を提供する。）</v>
      </c>
      <c r="F114" s="13" t="str">
        <f aca="false">IF($D$4="","",$D$4)</f>
        <v/>
      </c>
      <c r="G114" s="13" t="str">
        <f aca="false">IFERROR(IF(INDEX(評価項目対応!$I$6:$I$236,$U114)="対象","対象",IF(INDEX(評価項目対応!$I$6:$I$236,$U114)="対象外（承認済）","対象外",IF(INDEX(評価項目対応!$I$6:$I$236,$U114)="未確定","n/a",""))),"")</f>
        <v>n/a</v>
      </c>
      <c r="H114" s="25" t="str">
        <f aca="false">IF(ISBLANK(J114),"",IF(J114=5,"Yes",IF(J114=4,"Yes","No")))</f>
        <v/>
      </c>
      <c r="I114" s="18"/>
      <c r="J114" s="26"/>
      <c r="K114" s="18"/>
      <c r="L114" s="18"/>
      <c r="M114" s="11" t="str">
        <f aca="false">IF(INDEX(評価項目対応!$J$6:$J$236,$U114)="","",INDEX(評価項目対応!$J$6:$J$236,$U114))</f>
        <v/>
      </c>
      <c r="N114" s="11" t="str">
        <f aca="false">IF(INDEX(評価項目対応!$N$6:$N$236,$U114)="","",INDEX(評価項目対応!$N$6:$N$236,$U114))</f>
        <v/>
      </c>
      <c r="O114" s="11" t="str">
        <f aca="false">IF(INDEX(評価項目対応!$O$6:$O$236,$U114)="","",INDEX(評価項目対応!$O$6:$O$236,$U114))</f>
        <v/>
      </c>
      <c r="P114" s="27" t="n">
        <f aca="false">COUNTIF(F114:G114,"")+COUNTIF(I114:O114,"")-IF(AND(G114="対象外",K114=""),1,0)</f>
        <v>8</v>
      </c>
      <c r="Q114" s="11" t="str">
        <f aca="false">IF(F114="","会社名コード未設定（D4）",IF(OR(G114="",G114="n/a"),"適用性を確定（評価項目対応I列）",IF(AND(G114="対象外",OR(I114&lt;&gt;"対象外",J114&lt;&gt;"n/a")),"対象外ならR=対象外・S=n/a",IF(AND(G114="対象",OR(I114="対象外",J114="n/a")),"対象なのにR／Sが対象外・n/a",IF(AND(G114="対象",OR(I114="",J114="")),"R・Sを入力",IF(AND(ISNUMBER(J114),ISNUMBER(V114),ABS(N(J114)-N(V114))&gt;=1),"RとSの乖離（案分ならUに明記）",IF(AND(G114="対象",L114=""),"Uに制約・代替策・未検証を記載",IF(AND(G114="対象外",L114=""),"対象外の理由・承認者をUに記載",IF(OR(M114="",N114="",O114=""),"V～Xを入力",IF(P114&gt;0,"未記入あり（P列）","OK"))))))))))</f>
        <v>会社名コード未設定（D4）</v>
      </c>
      <c r="R114" s="11" t="str">
        <f aca="false">IF(INDEX(評価項目対応!$M$6:$M$236,$U114)="","",INDEX(評価項目対応!$M$6:$M$236,$U114))</f>
        <v/>
      </c>
      <c r="S114" s="11" t="str">
        <f aca="false">INDEX(評価項目対応!$H$6:$H$236,$U114)</f>
        <v>Windows固有の要件（PowerShell、LSASS、資格情報保護等）。ChromeOS端末は非該当だが、接続先のAD／Windows環境に適用し得るため既存証跡を確認する。対象外にする場合は理由と承認者を記録する。</v>
      </c>
      <c r="T114" s="11" t="str">
        <f aca="false">TRIM(IF(INDEX(評価項目対応!$K$6:$K$236,$U114)="","","試験ID: "&amp;INDEX(評価項目対応!$K$6:$K$236,$U114)&amp;"　")&amp;IF(INDEX(評価項目対応!$L$6:$L$236,$U114)="","","判断理由: "&amp;INDEX(評価項目対応!$L$6:$L$236,$U114)))</f>
        <v/>
      </c>
      <c r="U114" s="28" t="n">
        <f aca="false">MATCH($A114,評価項目対応!$A$6:$A$236,0)</f>
        <v>108</v>
      </c>
      <c r="V114" s="28" t="str">
        <f aca="false">IFERROR(VLOOKUP(I114,$X$6:$Y$11,2,FALSE()),"")</f>
        <v/>
      </c>
    </row>
    <row r="115" customFormat="false" ht="91.5" hidden="false" customHeight="true" outlineLevel="0" collapsed="false">
      <c r="A115" s="13" t="n">
        <v>111</v>
      </c>
      <c r="B115" s="13" t="n">
        <f aca="false">INDEX(評価項目対応!$B$6:$B$236,$U115)</f>
        <v>100</v>
      </c>
      <c r="C115" s="13" t="str">
        <f aca="false">INDEX(評価項目対応!$F$6:$F$236,$U115)</f>
        <v>4.08</v>
      </c>
      <c r="D115" s="11" t="str">
        <f aca="false">INDEX(評価項目対応!$D$6:$D$236,$U115)</f>
        <v>メール管理</v>
      </c>
      <c r="E115" s="11" t="str">
        <f aca="false">INDEX(評価項目対応!$E$6:$E$236,$U115)</f>
        <v>電子メールで送信されたMicrosoft Officeファイルのマクロスクリプトが
無効になっていることを確認する。
（これらのマクロはランサムウェアを配信するために使用される可能性が
ある。）</v>
      </c>
      <c r="F115" s="13" t="str">
        <f aca="false">IF($D$4="","",$D$4)</f>
        <v/>
      </c>
      <c r="G115" s="13" t="str">
        <f aca="false">IFERROR(IF(INDEX(評価項目対応!$I$6:$I$236,$U115)="対象","対象",IF(INDEX(評価項目対応!$I$6:$I$236,$U115)="対象外（承認済）","対象外",IF(INDEX(評価項目対応!$I$6:$I$236,$U115)="未確定","n/a",""))),"")</f>
        <v>n/a</v>
      </c>
      <c r="H115" s="25" t="str">
        <f aca="false">IF(ISBLANK(J115),"",IF(J115=5,"Yes",IF(J115=4,"Yes","No")))</f>
        <v/>
      </c>
      <c r="I115" s="18"/>
      <c r="J115" s="26"/>
      <c r="K115" s="18"/>
      <c r="L115" s="18"/>
      <c r="M115" s="11" t="str">
        <f aca="false">IF(INDEX(評価項目対応!$J$6:$J$236,$U115)="","",INDEX(評価項目対応!$J$6:$J$236,$U115))</f>
        <v/>
      </c>
      <c r="N115" s="11" t="str">
        <f aca="false">IF(INDEX(評価項目対応!$N$6:$N$236,$U115)="","",INDEX(評価項目対応!$N$6:$N$236,$U115))</f>
        <v/>
      </c>
      <c r="O115" s="11" t="str">
        <f aca="false">IF(INDEX(評価項目対応!$O$6:$O$236,$U115)="","",INDEX(評価項目対応!$O$6:$O$236,$U115))</f>
        <v/>
      </c>
      <c r="P115" s="27" t="n">
        <f aca="false">COUNTIF(F115:G115,"")+COUNTIF(I115:O115,"")-IF(AND(G115="対象外",K115=""),1,0)</f>
        <v>8</v>
      </c>
      <c r="Q115" s="11" t="str">
        <f aca="false">IF(F115="","会社名コード未設定（D4）",IF(OR(G115="",G115="n/a"),"適用性を確定（評価項目対応I列）",IF(AND(G115="対象外",OR(I115&lt;&gt;"対象外",J115&lt;&gt;"n/a")),"対象外ならR=対象外・S=n/a",IF(AND(G115="対象",OR(I115="対象外",J115="n/a")),"対象なのにR／Sが対象外・n/a",IF(AND(G115="対象",OR(I115="",J115="")),"R・Sを入力",IF(AND(ISNUMBER(J115),ISNUMBER(V115),ABS(N(J115)-N(V115))&gt;=1),"RとSの乖離（案分ならUに明記）",IF(AND(G115="対象",L115=""),"Uに制約・代替策・未検証を記載",IF(AND(G115="対象外",L115=""),"対象外の理由・承認者をUに記載",IF(OR(M115="",N115="",O115=""),"V～Xを入力",IF(P115&gt;0,"未記入あり（P列）","OK"))))))))))</f>
        <v>会社名コード未設定（D4）</v>
      </c>
      <c r="R115" s="11" t="str">
        <f aca="false">IF(INDEX(評価項目対応!$M$6:$M$236,$U115)="","",INDEX(評価項目対応!$M$6:$M$236,$U115))</f>
        <v/>
      </c>
      <c r="S115" s="11" t="str">
        <f aca="false">INDEX(評価項目対応!$H$6:$H$236,$U115)</f>
        <v>ChromeOS上のWeb文書処理と、接続先WindowsでのOfficeマクロ実行を分けて評価する。</v>
      </c>
      <c r="T115" s="11" t="str">
        <f aca="false">TRIM(IF(INDEX(評価項目対応!$K$6:$K$236,$U115)="","","試験ID: "&amp;INDEX(評価項目対応!$K$6:$K$236,$U115)&amp;"　")&amp;IF(INDEX(評価項目対応!$L$6:$L$236,$U115)="","","判断理由: "&amp;INDEX(評価項目対応!$L$6:$L$236,$U115)))</f>
        <v/>
      </c>
      <c r="U115" s="28" t="n">
        <f aca="false">MATCH($A115,評価項目対応!$A$6:$A$236,0)</f>
        <v>109</v>
      </c>
      <c r="V115" s="28" t="str">
        <f aca="false">IFERROR(VLOOKUP(I115,$X$6:$Y$11,2,FALSE()),"")</f>
        <v/>
      </c>
    </row>
    <row r="116" customFormat="false" ht="120" hidden="false" customHeight="true" outlineLevel="0" collapsed="false">
      <c r="A116" s="13" t="n">
        <v>112</v>
      </c>
      <c r="B116" s="13" t="n">
        <f aca="false">INDEX(評価項目対応!$B$6:$B$236,$U116)</f>
        <v>133</v>
      </c>
      <c r="C116" s="13" t="str">
        <f aca="false">INDEX(評価項目対応!$F$6:$F$236,$U116)</f>
        <v>4.04d</v>
      </c>
      <c r="D116" s="11" t="str">
        <f aca="false">INDEX(評価項目対応!$D$6:$D$236,$U116)</f>
        <v>仮想化基盤管理</v>
      </c>
      <c r="E116" s="11" t="str">
        <f aca="false">INDEX(評価項目対応!$E$6:$E$236,$U116)</f>
        <v>すべてのハイパーバイザーと、ネットワークおよびストレージコンポーネ
ントを含む関連するITインフラストラクチャが更新およびハードニングさ
れていることを確認する。
（新たなランサムウェア戦略では、大規模にインフラストラクチャを迅速
に暗号化できるVMware ESXiサーバー、ハイパーバイザー、およびその他
の集中管理ツールとシステムを標的にし始めている。）</v>
      </c>
      <c r="F116" s="13" t="str">
        <f aca="false">IF($D$4="","",$D$4)</f>
        <v/>
      </c>
      <c r="G116" s="13" t="str">
        <f aca="false">IFERROR(IF(INDEX(評価項目対応!$I$6:$I$236,$U116)="対象","対象",IF(INDEX(評価項目対応!$I$6:$I$236,$U116)="対象外（承認済）","対象外",IF(INDEX(評価項目対応!$I$6:$I$236,$U116)="未確定","n/a",""))),"")</f>
        <v>n/a</v>
      </c>
      <c r="H116" s="25" t="str">
        <f aca="false">IF(ISBLANK(J116),"",IF(J116=5,"Yes",IF(J116=4,"Yes","No")))</f>
        <v/>
      </c>
      <c r="I116" s="18"/>
      <c r="J116" s="26"/>
      <c r="K116" s="18"/>
      <c r="L116" s="18"/>
      <c r="M116" s="11" t="str">
        <f aca="false">IF(INDEX(評価項目対応!$J$6:$J$236,$U116)="","",INDEX(評価項目対応!$J$6:$J$236,$U116))</f>
        <v/>
      </c>
      <c r="N116" s="11" t="str">
        <f aca="false">IF(INDEX(評価項目対応!$N$6:$N$236,$U116)="","",INDEX(評価項目対応!$N$6:$N$236,$U116))</f>
        <v/>
      </c>
      <c r="O116" s="11" t="str">
        <f aca="false">IF(INDEX(評価項目対応!$O$6:$O$236,$U116)="","",INDEX(評価項目対応!$O$6:$O$236,$U116))</f>
        <v/>
      </c>
      <c r="P116" s="27" t="n">
        <f aca="false">COUNTIF(F116:G116,"")+COUNTIF(I116:O116,"")-IF(AND(G116="対象外",K116=""),1,0)</f>
        <v>8</v>
      </c>
      <c r="Q116" s="11" t="str">
        <f aca="false">IF(F116="","会社名コード未設定（D4）",IF(OR(G116="",G116="n/a"),"適用性を確定（評価項目対応I列）",IF(AND(G116="対象外",OR(I116&lt;&gt;"対象外",J116&lt;&gt;"n/a")),"対象外ならR=対象外・S=n/a",IF(AND(G116="対象",OR(I116="対象外",J116="n/a")),"対象なのにR／Sが対象外・n/a",IF(AND(G116="対象",OR(I116="",J116="")),"R・Sを入力",IF(AND(ISNUMBER(J116),ISNUMBER(V116),ABS(N(J116)-N(V116))&gt;=1),"RとSの乖離（案分ならUに明記）",IF(AND(G116="対象",L116=""),"Uに制約・代替策・未検証を記載",IF(AND(G116="対象外",L116=""),"対象外の理由・承認者をUに記載",IF(OR(M116="",N116="",O116=""),"V～Xを入力",IF(P116&gt;0,"未記入あり（P列）","OK"))))))))))</f>
        <v>会社名コード未設定（D4）</v>
      </c>
      <c r="R116" s="11" t="str">
        <f aca="false">IF(INDEX(評価項目対応!$M$6:$M$236,$U116)="","",INDEX(評価項目対応!$M$6:$M$236,$U116))</f>
        <v/>
      </c>
      <c r="S116" s="11" t="str">
        <f aca="false">INDEX(評価項目対応!$H$6:$H$236,$U116)</f>
        <v>仮想化基盤、アプリ制御、アンチマルウェア運用、ツール使用調査、認証ログの既存証跡を担当者から受領し、ChromeOSで変わる点のみ補足する。</v>
      </c>
      <c r="T116" s="11" t="str">
        <f aca="false">TRIM(IF(INDEX(評価項目対応!$K$6:$K$236,$U116)="","","試験ID: "&amp;INDEX(評価項目対応!$K$6:$K$236,$U116)&amp;"　")&amp;IF(INDEX(評価項目対応!$L$6:$L$236,$U116)="","","判断理由: "&amp;INDEX(評価項目対応!$L$6:$L$236,$U116)))</f>
        <v/>
      </c>
      <c r="U116" s="28" t="n">
        <f aca="false">MATCH($A116,評価項目対応!$A$6:$A$236,0)</f>
        <v>110</v>
      </c>
      <c r="V116" s="28" t="str">
        <f aca="false">IFERROR(VLOOKUP(I116,$X$6:$Y$11,2,FALSE()),"")</f>
        <v/>
      </c>
    </row>
    <row r="117" customFormat="false" ht="91.5" hidden="false" customHeight="true" outlineLevel="0" collapsed="false">
      <c r="A117" s="13" t="n">
        <v>113</v>
      </c>
      <c r="B117" s="13" t="n">
        <f aca="false">INDEX(評価項目対応!$B$6:$B$236,$U117)</f>
        <v>144</v>
      </c>
      <c r="C117" s="13" t="str">
        <f aca="false">INDEX(評価項目対応!$F$6:$F$236,$U117)</f>
        <v>4.03</v>
      </c>
      <c r="D117" s="11" t="str">
        <f aca="false">INDEX(評価項目対応!$D$6:$D$236,$U117)</f>
        <v>ネットワーク管理</v>
      </c>
      <c r="E117" s="11" t="str">
        <f aca="false">INDEX(評価項目対応!$E$6:$E$236,$U117)</f>
        <v>組織のネットワーク内のシステムとデータフローを説明する包括的なネッ
トワーク図を作成し、定期的に更新する。
（これは定常状態で役立ち、インシデント対応者が取り組みの重点を置く
べき場所を理解するのに役立つ。）</v>
      </c>
      <c r="F117" s="13" t="str">
        <f aca="false">IF($D$4="","",$D$4)</f>
        <v/>
      </c>
      <c r="G117" s="13" t="str">
        <f aca="false">IFERROR(IF(INDEX(評価項目対応!$I$6:$I$236,$U117)="対象","対象",IF(INDEX(評価項目対応!$I$6:$I$236,$U117)="対象外（承認済）","対象外",IF(INDEX(評価項目対応!$I$6:$I$236,$U117)="未確定","n/a",""))),"")</f>
        <v>n/a</v>
      </c>
      <c r="H117" s="25" t="str">
        <f aca="false">IF(ISBLANK(J117),"",IF(J117=5,"Yes",IF(J117=4,"Yes","No")))</f>
        <v/>
      </c>
      <c r="I117" s="18"/>
      <c r="J117" s="26"/>
      <c r="K117" s="18"/>
      <c r="L117" s="18"/>
      <c r="M117" s="11" t="str">
        <f aca="false">IF(INDEX(評価項目対応!$J$6:$J$236,$U117)="","",INDEX(評価項目対応!$J$6:$J$236,$U117))</f>
        <v/>
      </c>
      <c r="N117" s="11" t="str">
        <f aca="false">IF(INDEX(評価項目対応!$N$6:$N$236,$U117)="","",INDEX(評価項目対応!$N$6:$N$236,$U117))</f>
        <v/>
      </c>
      <c r="O117" s="11" t="str">
        <f aca="false">IF(INDEX(評価項目対応!$O$6:$O$236,$U117)="","",INDEX(評価項目対応!$O$6:$O$236,$U117))</f>
        <v/>
      </c>
      <c r="P117" s="27" t="n">
        <f aca="false">COUNTIF(F117:G117,"")+COUNTIF(I117:O117,"")-IF(AND(G117="対象外",K117=""),1,0)</f>
        <v>8</v>
      </c>
      <c r="Q117" s="11" t="str">
        <f aca="false">IF(F117="","会社名コード未設定（D4）",IF(OR(G117="",G117="n/a"),"適用性を確定（評価項目対応I列）",IF(AND(G117="対象外",OR(I117&lt;&gt;"対象外",J117&lt;&gt;"n/a")),"対象外ならR=対象外・S=n/a",IF(AND(G117="対象",OR(I117="対象外",J117="n/a")),"対象なのにR／Sが対象外・n/a",IF(AND(G117="対象",OR(I117="",J117="")),"R・Sを入力",IF(AND(ISNUMBER(J117),ISNUMBER(V117),ABS(N(J117)-N(V117))&gt;=1),"RとSの乖離（案分ならUに明記）",IF(AND(G117="対象",L117=""),"Uに制約・代替策・未検証を記載",IF(AND(G117="対象外",L117=""),"対象外の理由・承認者をUに記載",IF(OR(M117="",N117="",O117=""),"V～Xを入力",IF(P117&gt;0,"未記入あり（P列）","OK"))))))))))</f>
        <v>会社名コード未設定（D4）</v>
      </c>
      <c r="R117" s="11" t="str">
        <f aca="false">IF(INDEX(評価項目対応!$M$6:$M$236,$U117)="","",INDEX(評価項目対応!$M$6:$M$236,$U117))</f>
        <v/>
      </c>
      <c r="S117" s="11" t="str">
        <f aca="false">INDEX(評価項目対応!$H$6:$H$236,$U117)</f>
        <v>会社・外部ネットワークの経路、VPN認証、DNS／FW制御と構成図の保管を確認する。</v>
      </c>
      <c r="T117" s="11" t="str">
        <f aca="false">TRIM(IF(INDEX(評価項目対応!$K$6:$K$236,$U117)="","","試験ID: "&amp;INDEX(評価項目対応!$K$6:$K$236,$U117)&amp;"　")&amp;IF(INDEX(評価項目対応!$L$6:$L$236,$U117)="","","判断理由: "&amp;INDEX(評価項目対応!$L$6:$L$236,$U117)))</f>
        <v/>
      </c>
      <c r="U117" s="28" t="n">
        <f aca="false">MATCH($A117,評価項目対応!$A$6:$A$236,0)</f>
        <v>111</v>
      </c>
      <c r="V117" s="28" t="str">
        <f aca="false">IFERROR(VLOOKUP(I117,$X$6:$Y$11,2,FALSE()),"")</f>
        <v/>
      </c>
    </row>
    <row r="118" customFormat="false" ht="49.5" hidden="false" customHeight="true" outlineLevel="0" collapsed="false">
      <c r="A118" s="13" t="n">
        <v>114</v>
      </c>
      <c r="B118" s="13" t="n">
        <f aca="false">INDEX(評価項目対応!$B$6:$B$236,$U118)</f>
        <v>145</v>
      </c>
      <c r="C118" s="13" t="str">
        <f aca="false">INDEX(評価項目対応!$F$6:$F$236,$U118)</f>
        <v>4.03</v>
      </c>
      <c r="D118" s="11" t="str">
        <f aca="false">INDEX(評価項目対応!$D$6:$D$236,$U118)</f>
        <v>ネットワーク管理</v>
      </c>
      <c r="E118" s="11" t="str">
        <f aca="false">INDEX(評価項目対応!$E$6:$E$236,$U118)</f>
        <v>ネットワークドキュメンテーションを安全に保管し、オフラインバックア
ップとハードコピーを現地に保管する。</v>
      </c>
      <c r="F118" s="13" t="str">
        <f aca="false">IF($D$4="","",$D$4)</f>
        <v/>
      </c>
      <c r="G118" s="13" t="str">
        <f aca="false">IFERROR(IF(INDEX(評価項目対応!$I$6:$I$236,$U118)="対象","対象",IF(INDEX(評価項目対応!$I$6:$I$236,$U118)="対象外（承認済）","対象外",IF(INDEX(評価項目対応!$I$6:$I$236,$U118)="未確定","n/a",""))),"")</f>
        <v>n/a</v>
      </c>
      <c r="H118" s="25" t="str">
        <f aca="false">IF(ISBLANK(J118),"",IF(J118=5,"Yes",IF(J118=4,"Yes","No")))</f>
        <v/>
      </c>
      <c r="I118" s="18"/>
      <c r="J118" s="26"/>
      <c r="K118" s="18"/>
      <c r="L118" s="18"/>
      <c r="M118" s="11" t="str">
        <f aca="false">IF(INDEX(評価項目対応!$J$6:$J$236,$U118)="","",INDEX(評価項目対応!$J$6:$J$236,$U118))</f>
        <v/>
      </c>
      <c r="N118" s="11" t="str">
        <f aca="false">IF(INDEX(評価項目対応!$N$6:$N$236,$U118)="","",INDEX(評価項目対応!$N$6:$N$236,$U118))</f>
        <v/>
      </c>
      <c r="O118" s="11" t="str">
        <f aca="false">IF(INDEX(評価項目対応!$O$6:$O$236,$U118)="","",INDEX(評価項目対応!$O$6:$O$236,$U118))</f>
        <v/>
      </c>
      <c r="P118" s="27" t="n">
        <f aca="false">COUNTIF(F118:G118,"")+COUNTIF(I118:O118,"")-IF(AND(G118="対象外",K118=""),1,0)</f>
        <v>8</v>
      </c>
      <c r="Q118" s="11" t="str">
        <f aca="false">IF(F118="","会社名コード未設定（D4）",IF(OR(G118="",G118="n/a"),"適用性を確定（評価項目対応I列）",IF(AND(G118="対象外",OR(I118&lt;&gt;"対象外",J118&lt;&gt;"n/a")),"対象外ならR=対象外・S=n/a",IF(AND(G118="対象",OR(I118="対象外",J118="n/a")),"対象なのにR／Sが対象外・n/a",IF(AND(G118="対象",OR(I118="",J118="")),"R・Sを入力",IF(AND(ISNUMBER(J118),ISNUMBER(V118),ABS(N(J118)-N(V118))&gt;=1),"RとSの乖離（案分ならUに明記）",IF(AND(G118="対象",L118=""),"Uに制約・代替策・未検証を記載",IF(AND(G118="対象外",L118=""),"対象外の理由・承認者をUに記載",IF(OR(M118="",N118="",O118=""),"V～Xを入力",IF(P118&gt;0,"未記入あり（P列）","OK"))))))))))</f>
        <v>会社名コード未設定（D4）</v>
      </c>
      <c r="R118" s="11" t="str">
        <f aca="false">IF(INDEX(評価項目対応!$M$6:$M$236,$U118)="","",INDEX(評価項目対応!$M$6:$M$236,$U118))</f>
        <v/>
      </c>
      <c r="S118" s="11" t="str">
        <f aca="false">INDEX(評価項目対応!$H$6:$H$236,$U118)</f>
        <v>会社・外部ネットワークの経路、VPN認証、DNS／FW制御と構成図の保管を確認する。</v>
      </c>
      <c r="T118" s="11" t="str">
        <f aca="false">TRIM(IF(INDEX(評価項目対応!$K$6:$K$236,$U118)="","","試験ID: "&amp;INDEX(評価項目対応!$K$6:$K$236,$U118)&amp;"　")&amp;IF(INDEX(評価項目対応!$L$6:$L$236,$U118)="","","判断理由: "&amp;INDEX(評価項目対応!$L$6:$L$236,$U118)))</f>
        <v/>
      </c>
      <c r="U118" s="28" t="n">
        <f aca="false">MATCH($A118,評価項目対応!$A$6:$A$236,0)</f>
        <v>112</v>
      </c>
      <c r="V118" s="28" t="str">
        <f aca="false">IFERROR(VLOOKUP(I118,$X$6:$Y$11,2,FALSE()),"")</f>
        <v/>
      </c>
    </row>
    <row r="119" customFormat="false" ht="105.75" hidden="false" customHeight="true" outlineLevel="0" collapsed="false">
      <c r="A119" s="13" t="n">
        <v>115</v>
      </c>
      <c r="B119" s="13" t="n">
        <f aca="false">INDEX(評価項目対応!$B$6:$B$236,$U119)</f>
        <v>177</v>
      </c>
      <c r="C119" s="13" t="str">
        <f aca="false">INDEX(評価項目対応!$F$6:$F$236,$U119)</f>
        <v>4.02</v>
      </c>
      <c r="D119" s="11" t="str">
        <f aca="false">INDEX(評価項目対応!$D$6:$D$236,$U119)</f>
        <v>ブラウザ設定</v>
      </c>
      <c r="E119" s="11" t="str">
        <f aca="false">INDEX(評価項目対応!$E$6:$E$236,$U119)</f>
        <v>ウェブサイトのタイプミス保護を有効にして、ブラウザを侵害する可能性
のあるなりすましウェブサイトやその他の潜在的に悪意のあるリンクにロ
グオンする可能性を制限する。</v>
      </c>
      <c r="F119" s="13" t="str">
        <f aca="false">IF($D$4="","",$D$4)</f>
        <v/>
      </c>
      <c r="G119" s="13" t="str">
        <f aca="false">IFERROR(IF(INDEX(評価項目対応!$I$6:$I$236,$U119)="対象","対象",IF(INDEX(評価項目対応!$I$6:$I$236,$U119)="対象外（承認済）","対象外",IF(INDEX(評価項目対応!$I$6:$I$236,$U119)="未確定","n/a",""))),"")</f>
        <v>n/a</v>
      </c>
      <c r="H119" s="25" t="str">
        <f aca="false">IF(ISBLANK(J119),"",IF(J119=5,"Yes",IF(J119=4,"Yes","No")))</f>
        <v/>
      </c>
      <c r="I119" s="18"/>
      <c r="J119" s="26"/>
      <c r="K119" s="18"/>
      <c r="L119" s="18"/>
      <c r="M119" s="11" t="str">
        <f aca="false">IF(INDEX(評価項目対応!$J$6:$J$236,$U119)="","",INDEX(評価項目対応!$J$6:$J$236,$U119))</f>
        <v/>
      </c>
      <c r="N119" s="11" t="str">
        <f aca="false">IF(INDEX(評価項目対応!$N$6:$N$236,$U119)="","",INDEX(評価項目対応!$N$6:$N$236,$U119))</f>
        <v/>
      </c>
      <c r="O119" s="11" t="str">
        <f aca="false">IF(INDEX(評価項目対応!$O$6:$O$236,$U119)="","",INDEX(評価項目対応!$O$6:$O$236,$U119))</f>
        <v/>
      </c>
      <c r="P119" s="27" t="n">
        <f aca="false">COUNTIF(F119:G119,"")+COUNTIF(I119:O119,"")-IF(AND(G119="対象外",K119=""),1,0)</f>
        <v>8</v>
      </c>
      <c r="Q119" s="11" t="str">
        <f aca="false">IF(F119="","会社名コード未設定（D4）",IF(OR(G119="",G119="n/a"),"適用性を確定（評価項目対応I列）",IF(AND(G119="対象外",OR(I119&lt;&gt;"対象外",J119&lt;&gt;"n/a")),"対象外ならR=対象外・S=n/a",IF(AND(G119="対象",OR(I119="対象外",J119="n/a")),"対象なのにR／Sが対象外・n/a",IF(AND(G119="対象",OR(I119="",J119="")),"R・Sを入力",IF(AND(ISNUMBER(J119),ISNUMBER(V119),ABS(N(J119)-N(V119))&gt;=1),"RとSの乖離（案分ならUに明記）",IF(AND(G119="対象",L119=""),"Uに制約・代替策・未検証を記載",IF(AND(G119="対象外",L119=""),"対象外の理由・承認者をUに記載",IF(OR(M119="",N119="",O119=""),"V～Xを入力",IF(P119&gt;0,"未記入あり（P列）","OK"))))))))))</f>
        <v>会社名コード未設定（D4）</v>
      </c>
      <c r="R119" s="11" t="str">
        <f aca="false">IF(INDEX(評価項目対応!$M$6:$M$236,$U119)="","",INDEX(評価項目対応!$M$6:$M$236,$U119))</f>
        <v/>
      </c>
      <c r="S119" s="11" t="str">
        <f aca="false">INDEX(評価項目対応!$H$6:$H$236,$U119)</f>
        <v>原票の「Tracking prevention」「Website typo protection」はMicrosoft Edgeの機能名（typo protectionの企業ポリシーはTyposquattingCheckerEnabled）。Chrome／ChromeOSでの同等機能の有無を確認し、無い場合は「直接の同等機能なし＋代替策（Safe Browsingの強化モード、URL拒否リスト等）」として記録する。満たしたとは扱わない。</v>
      </c>
      <c r="T119" s="11" t="str">
        <f aca="false">TRIM(IF(INDEX(評価項目対応!$K$6:$K$236,$U119)="","","試験ID: "&amp;INDEX(評価項目対応!$K$6:$K$236,$U119)&amp;"　")&amp;IF(INDEX(評価項目対応!$L$6:$L$236,$U119)="","","判断理由: "&amp;INDEX(評価項目対応!$L$6:$L$236,$U119)))</f>
        <v/>
      </c>
      <c r="U119" s="28" t="n">
        <f aca="false">MATCH($A119,評価項目対応!$A$6:$A$236,0)</f>
        <v>113</v>
      </c>
      <c r="V119" s="28" t="str">
        <f aca="false">IFERROR(VLOOKUP(I119,$X$6:$Y$11,2,FALSE()),"")</f>
        <v/>
      </c>
    </row>
    <row r="120" customFormat="false" ht="49.5" hidden="false" customHeight="true" outlineLevel="0" collapsed="false">
      <c r="A120" s="13" t="n">
        <v>116</v>
      </c>
      <c r="B120" s="13" t="n">
        <f aca="false">INDEX(評価項目対応!$B$6:$B$236,$U120)</f>
        <v>179</v>
      </c>
      <c r="C120" s="13" t="str">
        <f aca="false">INDEX(評価項目対応!$F$6:$F$236,$U120)</f>
        <v>4.02</v>
      </c>
      <c r="D120" s="11" t="str">
        <f aca="false">INDEX(評価項目対応!$D$6:$D$236,$U120)</f>
        <v>ブラウザ設定</v>
      </c>
      <c r="E120" s="11" t="str">
        <f aca="false">INDEX(評価項目対応!$E$6:$E$236,$U120)</f>
        <v>悪用される可能性のあるユーザーデータの追跡を制限するために、ウェブ
サイト通知をデフォルトでブロックする。</v>
      </c>
      <c r="F120" s="13" t="str">
        <f aca="false">IF($D$4="","",$D$4)</f>
        <v/>
      </c>
      <c r="G120" s="13" t="str">
        <f aca="false">IFERROR(IF(INDEX(評価項目対応!$I$6:$I$236,$U120)="対象","対象",IF(INDEX(評価項目対応!$I$6:$I$236,$U120)="対象外（承認済）","対象外",IF(INDEX(評価項目対応!$I$6:$I$236,$U120)="未確定","n/a",""))),"")</f>
        <v>n/a</v>
      </c>
      <c r="H120" s="25" t="str">
        <f aca="false">IF(ISBLANK(J120),"",IF(J120=5,"Yes",IF(J120=4,"Yes","No")))</f>
        <v/>
      </c>
      <c r="I120" s="18"/>
      <c r="J120" s="26"/>
      <c r="K120" s="18"/>
      <c r="L120" s="18"/>
      <c r="M120" s="11" t="str">
        <f aca="false">IF(INDEX(評価項目対応!$J$6:$J$236,$U120)="","",INDEX(評価項目対応!$J$6:$J$236,$U120))</f>
        <v/>
      </c>
      <c r="N120" s="11" t="str">
        <f aca="false">IF(INDEX(評価項目対応!$N$6:$N$236,$U120)="","",INDEX(評価項目対応!$N$6:$N$236,$U120))</f>
        <v/>
      </c>
      <c r="O120" s="11" t="str">
        <f aca="false">IF(INDEX(評価項目対応!$O$6:$O$236,$U120)="","",INDEX(評価項目対応!$O$6:$O$236,$U120))</f>
        <v/>
      </c>
      <c r="P120" s="27" t="n">
        <f aca="false">COUNTIF(F120:G120,"")+COUNTIF(I120:O120,"")-IF(AND(G120="対象外",K120=""),1,0)</f>
        <v>8</v>
      </c>
      <c r="Q120" s="11" t="str">
        <f aca="false">IF(F120="","会社名コード未設定（D4）",IF(OR(G120="",G120="n/a"),"適用性を確定（評価項目対応I列）",IF(AND(G120="対象外",OR(I120&lt;&gt;"対象外",J120&lt;&gt;"n/a")),"対象外ならR=対象外・S=n/a",IF(AND(G120="対象",OR(I120="対象外",J120="n/a")),"対象なのにR／Sが対象外・n/a",IF(AND(G120="対象",OR(I120="",J120="")),"R・Sを入力",IF(AND(ISNUMBER(J120),ISNUMBER(V120),ABS(N(J120)-N(V120))&gt;=1),"RとSの乖離（案分ならUに明記）",IF(AND(G120="対象",L120=""),"Uに制約・代替策・未検証を記載",IF(AND(G120="対象外",L120=""),"対象外の理由・承認者をUに記載",IF(OR(M120="",N120="",O120=""),"V～Xを入力",IF(P120&gt;0,"未記入あり（P列）","OK"))))))))))</f>
        <v>会社名コード未設定（D4）</v>
      </c>
      <c r="R120" s="11" t="str">
        <f aca="false">IF(INDEX(評価項目対応!$M$6:$M$236,$U120)="","",INDEX(評価項目対応!$M$6:$M$236,$U120))</f>
        <v/>
      </c>
      <c r="S120" s="11" t="str">
        <f aca="false">INDEX(評価項目対応!$H$6:$H$236,$U120)</f>
        <v>ブラウザの該当制御と対応範囲を確認し、未対応機能を同等扱いしない。</v>
      </c>
      <c r="T120" s="11" t="str">
        <f aca="false">TRIM(IF(INDEX(評価項目対応!$K$6:$K$236,$U120)="","","試験ID: "&amp;INDEX(評価項目対応!$K$6:$K$236,$U120)&amp;"　")&amp;IF(INDEX(評価項目対応!$L$6:$L$236,$U120)="","","判断理由: "&amp;INDEX(評価項目対応!$L$6:$L$236,$U120)))</f>
        <v/>
      </c>
      <c r="U120" s="28" t="n">
        <f aca="false">MATCH($A120,評価項目対応!$A$6:$A$236,0)</f>
        <v>114</v>
      </c>
      <c r="V120" s="28" t="str">
        <f aca="false">IFERROR(VLOOKUP(I120,$X$6:$Y$11,2,FALSE()),"")</f>
        <v/>
      </c>
    </row>
    <row r="121" customFormat="false" ht="49.5" hidden="false" customHeight="true" outlineLevel="0" collapsed="false">
      <c r="A121" s="13" t="n">
        <v>117</v>
      </c>
      <c r="B121" s="13" t="n">
        <f aca="false">INDEX(評価項目対応!$B$6:$B$236,$U121)</f>
        <v>123</v>
      </c>
      <c r="C121" s="13" t="str">
        <f aca="false">INDEX(評価項目対応!$F$6:$F$236,$U121)</f>
        <v>3.08</v>
      </c>
      <c r="D121" s="11" t="str">
        <f aca="false">INDEX(評価項目対応!$D$6:$D$236,$U121)</f>
        <v>資産管理</v>
      </c>
      <c r="E121" s="11" t="str">
        <f aca="false">INDEX(評価項目対応!$E$6:$E$236,$U121)</f>
        <v>ITアセットドキュメンテーションを安全に保管し、オフラインバックアッ
プと物理的なハードコピーを現地に保管する。</v>
      </c>
      <c r="F121" s="13" t="str">
        <f aca="false">IF($D$4="","",$D$4)</f>
        <v/>
      </c>
      <c r="G121" s="13" t="str">
        <f aca="false">IFERROR(IF(INDEX(評価項目対応!$I$6:$I$236,$U121)="対象","対象",IF(INDEX(評価項目対応!$I$6:$I$236,$U121)="対象外（承認済）","対象外",IF(INDEX(評価項目対応!$I$6:$I$236,$U121)="未確定","n/a",""))),"")</f>
        <v>n/a</v>
      </c>
      <c r="H121" s="25" t="str">
        <f aca="false">IF(ISBLANK(J121),"",IF(J121=5,"Yes",IF(J121=4,"Yes","No")))</f>
        <v/>
      </c>
      <c r="I121" s="18"/>
      <c r="J121" s="26"/>
      <c r="K121" s="18"/>
      <c r="L121" s="18"/>
      <c r="M121" s="11" t="str">
        <f aca="false">IF(INDEX(評価項目対応!$J$6:$J$236,$U121)="","",INDEX(評価項目対応!$J$6:$J$236,$U121))</f>
        <v/>
      </c>
      <c r="N121" s="11" t="str">
        <f aca="false">IF(INDEX(評価項目対応!$N$6:$N$236,$U121)="","",INDEX(評価項目対応!$N$6:$N$236,$U121))</f>
        <v/>
      </c>
      <c r="O121" s="11" t="str">
        <f aca="false">IF(INDEX(評価項目対応!$O$6:$O$236,$U121)="","",INDEX(評価項目対応!$O$6:$O$236,$U121))</f>
        <v/>
      </c>
      <c r="P121" s="27" t="n">
        <f aca="false">COUNTIF(F121:G121,"")+COUNTIF(I121:O121,"")-IF(AND(G121="対象外",K121=""),1,0)</f>
        <v>8</v>
      </c>
      <c r="Q121" s="11" t="str">
        <f aca="false">IF(F121="","会社名コード未設定（D4）",IF(OR(G121="",G121="n/a"),"適用性を確定（評価項目対応I列）",IF(AND(G121="対象外",OR(I121&lt;&gt;"対象外",J121&lt;&gt;"n/a")),"対象外ならR=対象外・S=n/a",IF(AND(G121="対象",OR(I121="対象外",J121="n/a")),"対象なのにR／Sが対象外・n/a",IF(AND(G121="対象",OR(I121="",J121="")),"R・Sを入力",IF(AND(ISNUMBER(J121),ISNUMBER(V121),ABS(N(J121)-N(V121))&gt;=1),"RとSの乖離（案分ならUに明記）",IF(AND(G121="対象",L121=""),"Uに制約・代替策・未検証を記載",IF(AND(G121="対象外",L121=""),"対象外の理由・承認者をUに記載",IF(OR(M121="",N121="",O121=""),"V～Xを入力",IF(P121&gt;0,"未記入あり（P列）","OK"))))))))))</f>
        <v>会社名コード未設定（D4）</v>
      </c>
      <c r="R121" s="11" t="str">
        <f aca="false">IF(INDEX(評価項目対応!$M$6:$M$236,$U121)="","",INDEX(評価項目対応!$M$6:$M$236,$U121))</f>
        <v/>
      </c>
      <c r="S121" s="11" t="str">
        <f aca="false">INDEX(評価項目対応!$H$6:$H$236,$U121)</f>
        <v>端末登録に加え、アプリ・データ・重要業務・依存関係・台帳保護を確認する。</v>
      </c>
      <c r="T121" s="11" t="str">
        <f aca="false">TRIM(IF(INDEX(評価項目対応!$K$6:$K$236,$U121)="","","試験ID: "&amp;INDEX(評価項目対応!$K$6:$K$236,$U121)&amp;"　")&amp;IF(INDEX(評価項目対応!$L$6:$L$236,$U121)="","","判断理由: "&amp;INDEX(評価項目対応!$L$6:$L$236,$U121)))</f>
        <v/>
      </c>
      <c r="U121" s="28" t="n">
        <f aca="false">MATCH($A121,評価項目対応!$A$6:$A$236,0)</f>
        <v>115</v>
      </c>
      <c r="V121" s="28" t="str">
        <f aca="false">IFERROR(VLOOKUP(I121,$X$6:$Y$11,2,FALSE()),"")</f>
        <v/>
      </c>
    </row>
    <row r="122" customFormat="false" ht="105.75" hidden="false" customHeight="true" outlineLevel="0" collapsed="false">
      <c r="A122" s="13" t="n">
        <v>118</v>
      </c>
      <c r="B122" s="13" t="n">
        <f aca="false">INDEX(評価項目対応!$B$6:$B$236,$U122)</f>
        <v>152</v>
      </c>
      <c r="C122" s="13" t="str">
        <f aca="false">INDEX(評価項目対応!$F$6:$F$236,$U122)</f>
        <v>4.04a</v>
      </c>
      <c r="D122" s="11" t="str">
        <f aca="false">INDEX(評価項目対応!$D$6:$D$236,$U122)</f>
        <v>データセンター管理</v>
      </c>
      <c r="E122" s="11" t="str">
        <f aca="false">INDEX(評価項目対応!$E$6:$E$236,$U122)</f>
        <v>データセンターを保護するには、組織でサポートされている最新バージョ
ンの Windows Server を使用する。
（Windows Server OS の新しいバージョンには、Active Directory 用の
セキュリティ機能など、より多くの統合セキュリティ機能がある。）</v>
      </c>
      <c r="F122" s="13" t="str">
        <f aca="false">IF($D$4="","",$D$4)</f>
        <v/>
      </c>
      <c r="G122" s="13" t="str">
        <f aca="false">IFERROR(IF(INDEX(評価項目対応!$I$6:$I$236,$U122)="対象","対象",IF(INDEX(評価項目対応!$I$6:$I$236,$U122)="対象外（承認済）","対象外",IF(INDEX(評価項目対応!$I$6:$I$236,$U122)="未確定","n/a",""))),"")</f>
        <v>n/a</v>
      </c>
      <c r="H122" s="25" t="str">
        <f aca="false">IF(ISBLANK(J122),"",IF(J122=5,"Yes",IF(J122=4,"Yes","No")))</f>
        <v/>
      </c>
      <c r="I122" s="18"/>
      <c r="J122" s="26"/>
      <c r="K122" s="18"/>
      <c r="L122" s="18"/>
      <c r="M122" s="11" t="str">
        <f aca="false">IF(INDEX(評価項目対応!$J$6:$J$236,$U122)="","",INDEX(評価項目対応!$J$6:$J$236,$U122))</f>
        <v/>
      </c>
      <c r="N122" s="11" t="str">
        <f aca="false">IF(INDEX(評価項目対応!$N$6:$N$236,$U122)="","",INDEX(評価項目対応!$N$6:$N$236,$U122))</f>
        <v/>
      </c>
      <c r="O122" s="11" t="str">
        <f aca="false">IF(INDEX(評価項目対応!$O$6:$O$236,$U122)="","",INDEX(評価項目対応!$O$6:$O$236,$U122))</f>
        <v/>
      </c>
      <c r="P122" s="27" t="n">
        <f aca="false">COUNTIF(F122:G122,"")+COUNTIF(I122:O122,"")-IF(AND(G122="対象外",K122=""),1,0)</f>
        <v>8</v>
      </c>
      <c r="Q122" s="11" t="str">
        <f aca="false">IF(F122="","会社名コード未設定（D4）",IF(OR(G122="",G122="n/a"),"適用性を確定（評価項目対応I列）",IF(AND(G122="対象外",OR(I122&lt;&gt;"対象外",J122&lt;&gt;"n/a")),"対象外ならR=対象外・S=n/a",IF(AND(G122="対象",OR(I122="対象外",J122="n/a")),"対象なのにR／Sが対象外・n/a",IF(AND(G122="対象",OR(I122="",J122="")),"R・Sを入力",IF(AND(ISNUMBER(J122),ISNUMBER(V122),ABS(N(J122)-N(V122))&gt;=1),"RとSの乖離（案分ならUに明記）",IF(AND(G122="対象",L122=""),"Uに制約・代替策・未検証を記載",IF(AND(G122="対象外",L122=""),"対象外の理由・承認者をUに記載",IF(OR(M122="",N122="",O122=""),"V～Xを入力",IF(P122&gt;0,"未記入あり（P列）","OK"))))))))))</f>
        <v>会社名コード未設定（D4）</v>
      </c>
      <c r="R122" s="11" t="str">
        <f aca="false">IF(INDEX(評価項目対応!$M$6:$M$236,$U122)="","",INDEX(評価項目対応!$M$6:$M$236,$U122))</f>
        <v/>
      </c>
      <c r="S122" s="11" t="str">
        <f aca="false">INDEX(評価項目対応!$H$6:$H$236,$U122)</f>
        <v>原票の「データセンター」表記は原文のDC（Domain Controller）の訳。ADドメインコントローラーの設定・パッチ・監視の既存証跡を担当者から受領する。ChromeOS利用だけで対象外にしない。</v>
      </c>
      <c r="T122" s="11" t="str">
        <f aca="false">TRIM(IF(INDEX(評価項目対応!$K$6:$K$236,$U122)="","","試験ID: "&amp;INDEX(評価項目対応!$K$6:$K$236,$U122)&amp;"　")&amp;IF(INDEX(評価項目対応!$L$6:$L$236,$U122)="","","判断理由: "&amp;INDEX(評価項目対応!$L$6:$L$236,$U122)))</f>
        <v/>
      </c>
      <c r="U122" s="28" t="n">
        <f aca="false">MATCH($A122,評価項目対応!$A$6:$A$236,0)</f>
        <v>116</v>
      </c>
      <c r="V122" s="28" t="str">
        <f aca="false">IFERROR(VLOOKUP(I122,$X$6:$Y$11,2,FALSE()),"")</f>
        <v/>
      </c>
    </row>
    <row r="123" customFormat="false" ht="78" hidden="false" customHeight="true" outlineLevel="0" collapsed="false">
      <c r="A123" s="13" t="n">
        <v>119</v>
      </c>
      <c r="B123" s="13" t="n">
        <f aca="false">INDEX(評価項目対応!$B$6:$B$236,$U123)</f>
        <v>155</v>
      </c>
      <c r="C123" s="13" t="str">
        <f aca="false">INDEX(評価項目対応!$F$6:$F$236,$U123)</f>
        <v>4.04a</v>
      </c>
      <c r="D123" s="11" t="str">
        <f aca="false">INDEX(評価項目対応!$D$6:$D$236,$U123)</f>
        <v>データセンター管理</v>
      </c>
      <c r="E123" s="11" t="str">
        <f aca="false">INDEX(評価項目対応!$E$6:$E$236,$U123)</f>
        <v>データセンターへのソフトウェアまたはエージェントの最小限のインスト
ールを確保する。これらは、システム上で任意のコードを実行するために
利用される可能性がある。</v>
      </c>
      <c r="F123" s="13" t="str">
        <f aca="false">IF($D$4="","",$D$4)</f>
        <v/>
      </c>
      <c r="G123" s="13" t="str">
        <f aca="false">IFERROR(IF(INDEX(評価項目対応!$I$6:$I$236,$U123)="対象","対象",IF(INDEX(評価項目対応!$I$6:$I$236,$U123)="対象外（承認済）","対象外",IF(INDEX(評価項目対応!$I$6:$I$236,$U123)="未確定","n/a",""))),"")</f>
        <v>n/a</v>
      </c>
      <c r="H123" s="25" t="str">
        <f aca="false">IF(ISBLANK(J123),"",IF(J123=5,"Yes",IF(J123=4,"Yes","No")))</f>
        <v/>
      </c>
      <c r="I123" s="18"/>
      <c r="J123" s="26"/>
      <c r="K123" s="18"/>
      <c r="L123" s="18"/>
      <c r="M123" s="11" t="str">
        <f aca="false">IF(INDEX(評価項目対応!$J$6:$J$236,$U123)="","",INDEX(評価項目対応!$J$6:$J$236,$U123))</f>
        <v/>
      </c>
      <c r="N123" s="11" t="str">
        <f aca="false">IF(INDEX(評価項目対応!$N$6:$N$236,$U123)="","",INDEX(評価項目対応!$N$6:$N$236,$U123))</f>
        <v/>
      </c>
      <c r="O123" s="11" t="str">
        <f aca="false">IF(INDEX(評価項目対応!$O$6:$O$236,$U123)="","",INDEX(評価項目対応!$O$6:$O$236,$U123))</f>
        <v/>
      </c>
      <c r="P123" s="27" t="n">
        <f aca="false">COUNTIF(F123:G123,"")+COUNTIF(I123:O123,"")-IF(AND(G123="対象外",K123=""),1,0)</f>
        <v>8</v>
      </c>
      <c r="Q123" s="11" t="str">
        <f aca="false">IF(F123="","会社名コード未設定（D4）",IF(OR(G123="",G123="n/a"),"適用性を確定（評価項目対応I列）",IF(AND(G123="対象外",OR(I123&lt;&gt;"対象外",J123&lt;&gt;"n/a")),"対象外ならR=対象外・S=n/a",IF(AND(G123="対象",OR(I123="対象外",J123="n/a")),"対象なのにR／Sが対象外・n/a",IF(AND(G123="対象",OR(I123="",J123="")),"R・Sを入力",IF(AND(ISNUMBER(J123),ISNUMBER(V123),ABS(N(J123)-N(V123))&gt;=1),"RとSの乖離（案分ならUに明記）",IF(AND(G123="対象",L123=""),"Uに制約・代替策・未検証を記載",IF(AND(G123="対象外",L123=""),"対象外の理由・承認者をUに記載",IF(OR(M123="",N123="",O123=""),"V～Xを入力",IF(P123&gt;0,"未記入あり（P列）","OK"))))))))))</f>
        <v>会社名コード未設定（D4）</v>
      </c>
      <c r="R123" s="11" t="str">
        <f aca="false">IF(INDEX(評価項目対応!$M$6:$M$236,$U123)="","",INDEX(評価項目対応!$M$6:$M$236,$U123))</f>
        <v/>
      </c>
      <c r="S123" s="11" t="str">
        <f aca="false">INDEX(評価項目対応!$H$6:$H$236,$U123)</f>
        <v>原票の「データセンター」表記は原文のDC（Domain Controller）の訳。ADドメインコントローラーの設定・パッチ・監視の既存証跡を担当者から受領する。ChromeOS利用だけで対象外にしない。</v>
      </c>
      <c r="T123" s="11" t="str">
        <f aca="false">TRIM(IF(INDEX(評価項目対応!$K$6:$K$236,$U123)="","","試験ID: "&amp;INDEX(評価項目対応!$K$6:$K$236,$U123)&amp;"　")&amp;IF(INDEX(評価項目対応!$L$6:$L$236,$U123)="","","判断理由: "&amp;INDEX(評価項目対応!$L$6:$L$236,$U123)))</f>
        <v/>
      </c>
      <c r="U123" s="28" t="n">
        <f aca="false">MATCH($A123,評価項目対応!$A$6:$A$236,0)</f>
        <v>117</v>
      </c>
      <c r="V123" s="28" t="str">
        <f aca="false">IFERROR(VLOOKUP(I123,$X$6:$Y$11,2,FALSE()),"")</f>
        <v/>
      </c>
    </row>
    <row r="124" customFormat="false" ht="63.75" hidden="false" customHeight="true" outlineLevel="0" collapsed="false">
      <c r="A124" s="13" t="n">
        <v>120</v>
      </c>
      <c r="B124" s="13" t="n">
        <f aca="false">INDEX(評価項目対応!$B$6:$B$236,$U124)</f>
        <v>159</v>
      </c>
      <c r="C124" s="13" t="str">
        <f aca="false">INDEX(評価項目対応!$F$6:$F$236,$U124)</f>
        <v>4.04a</v>
      </c>
      <c r="D124" s="11" t="str">
        <f aca="false">INDEX(評価項目対応!$D$6:$D$236,$U124)</f>
        <v>データセンター管理</v>
      </c>
      <c r="E124" s="11" t="str">
        <f aca="false">INDEX(評価項目対応!$E$6:$E$236,$U124)</f>
        <v>データセンター上で電子メールのチェック、Web 閲覧、その他のリスクの
高いアクティビティが行われないようにする。</v>
      </c>
      <c r="F124" s="13" t="str">
        <f aca="false">IF($D$4="","",$D$4)</f>
        <v/>
      </c>
      <c r="G124" s="13" t="str">
        <f aca="false">IFERROR(IF(INDEX(評価項目対応!$I$6:$I$236,$U124)="対象","対象",IF(INDEX(評価項目対応!$I$6:$I$236,$U124)="対象外（承認済）","対象外",IF(INDEX(評価項目対応!$I$6:$I$236,$U124)="未確定","n/a",""))),"")</f>
        <v>n/a</v>
      </c>
      <c r="H124" s="25" t="str">
        <f aca="false">IF(ISBLANK(J124),"",IF(J124=5,"Yes",IF(J124=4,"Yes","No")))</f>
        <v/>
      </c>
      <c r="I124" s="18"/>
      <c r="J124" s="26"/>
      <c r="K124" s="18"/>
      <c r="L124" s="18"/>
      <c r="M124" s="11" t="str">
        <f aca="false">IF(INDEX(評価項目対応!$J$6:$J$236,$U124)="","",INDEX(評価項目対応!$J$6:$J$236,$U124))</f>
        <v/>
      </c>
      <c r="N124" s="11" t="str">
        <f aca="false">IF(INDEX(評価項目対応!$N$6:$N$236,$U124)="","",INDEX(評価項目対応!$N$6:$N$236,$U124))</f>
        <v/>
      </c>
      <c r="O124" s="11" t="str">
        <f aca="false">IF(INDEX(評価項目対応!$O$6:$O$236,$U124)="","",INDEX(評価項目対応!$O$6:$O$236,$U124))</f>
        <v/>
      </c>
      <c r="P124" s="27" t="n">
        <f aca="false">COUNTIF(F124:G124,"")+COUNTIF(I124:O124,"")-IF(AND(G124="対象外",K124=""),1,0)</f>
        <v>8</v>
      </c>
      <c r="Q124" s="11" t="str">
        <f aca="false">IF(F124="","会社名コード未設定（D4）",IF(OR(G124="",G124="n/a"),"適用性を確定（評価項目対応I列）",IF(AND(G124="対象外",OR(I124&lt;&gt;"対象外",J124&lt;&gt;"n/a")),"対象外ならR=対象外・S=n/a",IF(AND(G124="対象",OR(I124="対象外",J124="n/a")),"対象なのにR／Sが対象外・n/a",IF(AND(G124="対象",OR(I124="",J124="")),"R・Sを入力",IF(AND(ISNUMBER(J124),ISNUMBER(V124),ABS(N(J124)-N(V124))&gt;=1),"RとSの乖離（案分ならUに明記）",IF(AND(G124="対象",L124=""),"Uに制約・代替策・未検証を記載",IF(AND(G124="対象外",L124=""),"対象外の理由・承認者をUに記載",IF(OR(M124="",N124="",O124=""),"V～Xを入力",IF(P124&gt;0,"未記入あり（P列）","OK"))))))))))</f>
        <v>会社名コード未設定（D4）</v>
      </c>
      <c r="R124" s="11" t="str">
        <f aca="false">IF(INDEX(評価項目対応!$M$6:$M$236,$U124)="","",INDEX(評価項目対応!$M$6:$M$236,$U124))</f>
        <v/>
      </c>
      <c r="S124" s="11" t="str">
        <f aca="false">INDEX(評価項目対応!$H$6:$H$236,$U124)</f>
        <v>原票の「データセンター」表記は原文のDC（Domain Controller）の訳。ADドメインコントローラーの設定・パッチ・監視の既存証跡を担当者から受領する。ChromeOS利用だけで対象外にしない。</v>
      </c>
      <c r="T124" s="11" t="str">
        <f aca="false">TRIM(IF(INDEX(評価項目対応!$K$6:$K$236,$U124)="","","試験ID: "&amp;INDEX(評価項目対応!$K$6:$K$236,$U124)&amp;"　")&amp;IF(INDEX(評価項目対応!$L$6:$L$236,$U124)="","","判断理由: "&amp;INDEX(評価項目対応!$L$6:$L$236,$U124)))</f>
        <v/>
      </c>
      <c r="U124" s="28" t="n">
        <f aca="false">MATCH($A124,評価項目対応!$A$6:$A$236,0)</f>
        <v>118</v>
      </c>
      <c r="V124" s="28" t="str">
        <f aca="false">IFERROR(VLOOKUP(I124,$X$6:$Y$11,2,FALSE()),"")</f>
        <v/>
      </c>
    </row>
    <row r="125" customFormat="false" ht="49.5" hidden="false" customHeight="true" outlineLevel="0" collapsed="false">
      <c r="A125" s="13" t="n">
        <v>121</v>
      </c>
      <c r="B125" s="13" t="n">
        <f aca="false">INDEX(評価項目対応!$B$6:$B$236,$U125)</f>
        <v>107</v>
      </c>
      <c r="C125" s="13" t="str">
        <f aca="false">INDEX(評価項目対応!$F$6:$F$236,$U125)</f>
        <v>3.09</v>
      </c>
      <c r="D125" s="11" t="str">
        <f aca="false">INDEX(評価項目対応!$D$6:$D$236,$U125)</f>
        <v>EDRの適用</v>
      </c>
      <c r="E125" s="11" t="str">
        <f aca="false">INDEX(評価項目対応!$E$6:$E$236,$U125)</f>
        <v>クラウドベースのリソースにEDRを実装することを検討する。</v>
      </c>
      <c r="F125" s="13" t="str">
        <f aca="false">IF($D$4="","",$D$4)</f>
        <v/>
      </c>
      <c r="G125" s="13" t="str">
        <f aca="false">IFERROR(IF(INDEX(評価項目対応!$I$6:$I$236,$U125)="対象","対象",IF(INDEX(評価項目対応!$I$6:$I$236,$U125)="対象外（承認済）","対象外",IF(INDEX(評価項目対応!$I$6:$I$236,$U125)="未確定","n/a",""))),"")</f>
        <v>n/a</v>
      </c>
      <c r="H125" s="25" t="str">
        <f aca="false">IF(ISBLANK(J125),"",IF(J125=5,"Yes",IF(J125=4,"Yes","No")))</f>
        <v/>
      </c>
      <c r="I125" s="18"/>
      <c r="J125" s="26"/>
      <c r="K125" s="18"/>
      <c r="L125" s="18"/>
      <c r="M125" s="11" t="str">
        <f aca="false">IF(INDEX(評価項目対応!$J$6:$J$236,$U125)="","",INDEX(評価項目対応!$J$6:$J$236,$U125))</f>
        <v/>
      </c>
      <c r="N125" s="11" t="str">
        <f aca="false">IF(INDEX(評価項目対応!$N$6:$N$236,$U125)="","",INDEX(評価項目対応!$N$6:$N$236,$U125))</f>
        <v/>
      </c>
      <c r="O125" s="11" t="str">
        <f aca="false">IF(INDEX(評価項目対応!$O$6:$O$236,$U125)="","",INDEX(評価項目対応!$O$6:$O$236,$U125))</f>
        <v/>
      </c>
      <c r="P125" s="27" t="n">
        <f aca="false">COUNTIF(F125:G125,"")+COUNTIF(I125:O125,"")-IF(AND(G125="対象外",K125=""),1,0)</f>
        <v>8</v>
      </c>
      <c r="Q125" s="11" t="str">
        <f aca="false">IF(F125="","会社名コード未設定（D4）",IF(OR(G125="",G125="n/a"),"適用性を確定（評価項目対応I列）",IF(AND(G125="対象外",OR(I125&lt;&gt;"対象外",J125&lt;&gt;"n/a")),"対象外ならR=対象外・S=n/a",IF(AND(G125="対象",OR(I125="対象外",J125="n/a")),"対象なのにR／Sが対象外・n/a",IF(AND(G125="対象",OR(I125="",J125="")),"R・Sを入力",IF(AND(ISNUMBER(J125),ISNUMBER(V125),ABS(N(J125)-N(V125))&gt;=1),"RとSの乖離（案分ならUに明記）",IF(AND(G125="対象",L125=""),"Uに制約・代替策・未検証を記載",IF(AND(G125="対象外",L125=""),"対象外の理由・承認者をUに記載",IF(OR(M125="",N125="",O125=""),"V～Xを入力",IF(P125&gt;0,"未記入あり（P列）","OK"))))))))))</f>
        <v>会社名コード未設定（D4）</v>
      </c>
      <c r="R125" s="11" t="str">
        <f aca="false">IF(INDEX(評価項目対応!$M$6:$M$236,$U125)="","",INDEX(評価項目対応!$M$6:$M$236,$U125))</f>
        <v/>
      </c>
      <c r="S125" s="11" t="str">
        <f aca="false">INDEX(評価項目対応!$H$6:$H$236,$U125)</f>
        <v>公式アーキテクチャ・既存対策により原要求との差分を説明する。実マルウェア試験は行わず、代替策は安全評価責任者の受容判断を得る。</v>
      </c>
      <c r="T125" s="11" t="str">
        <f aca="false">TRIM(IF(INDEX(評価項目対応!$K$6:$K$236,$U125)="","","試験ID: "&amp;INDEX(評価項目対応!$K$6:$K$236,$U125)&amp;"　")&amp;IF(INDEX(評価項目対応!$L$6:$L$236,$U125)="","","判断理由: "&amp;INDEX(評価項目対応!$L$6:$L$236,$U125)))</f>
        <v/>
      </c>
      <c r="U125" s="28" t="n">
        <f aca="false">MATCH($A125,評価項目対応!$A$6:$A$236,0)</f>
        <v>119</v>
      </c>
      <c r="V125" s="28" t="str">
        <f aca="false">IFERROR(VLOOKUP(I125,$X$6:$Y$11,2,FALSE()),"")</f>
        <v/>
      </c>
    </row>
    <row r="126" customFormat="false" ht="63.75" hidden="false" customHeight="true" outlineLevel="0" collapsed="false">
      <c r="A126" s="13" t="n">
        <v>122</v>
      </c>
      <c r="B126" s="13" t="n">
        <f aca="false">INDEX(評価項目対応!$B$6:$B$236,$U126)</f>
        <v>147</v>
      </c>
      <c r="C126" s="13" t="str">
        <f aca="false">INDEX(評価項目対応!$F$6:$F$236,$U126)</f>
        <v>4.04a</v>
      </c>
      <c r="D126" s="11" t="str">
        <f aca="false">INDEX(評価項目対応!$D$6:$D$236,$U126)</f>
        <v>PowerShellの管理</v>
      </c>
      <c r="E126" s="11" t="str">
        <f aca="false">INDEX(評価項目対応!$E$6:$E$236,$U126)</f>
        <v>Windows PowerShellまたはPowerShell Coreを最新バージョンに更新し、
すべての以前のPowerShellバージョンをアンインストールする。</v>
      </c>
      <c r="F126" s="13" t="str">
        <f aca="false">IF($D$4="","",$D$4)</f>
        <v/>
      </c>
      <c r="G126" s="13" t="str">
        <f aca="false">IFERROR(IF(INDEX(評価項目対応!$I$6:$I$236,$U126)="対象","対象",IF(INDEX(評価項目対応!$I$6:$I$236,$U126)="対象外（承認済）","対象外",IF(INDEX(評価項目対応!$I$6:$I$236,$U126)="未確定","n/a",""))),"")</f>
        <v>n/a</v>
      </c>
      <c r="H126" s="25" t="str">
        <f aca="false">IF(ISBLANK(J126),"",IF(J126=5,"Yes",IF(J126=4,"Yes","No")))</f>
        <v/>
      </c>
      <c r="I126" s="18"/>
      <c r="J126" s="26"/>
      <c r="K126" s="18"/>
      <c r="L126" s="18"/>
      <c r="M126" s="11" t="str">
        <f aca="false">IF(INDEX(評価項目対応!$J$6:$J$236,$U126)="","",INDEX(評価項目対応!$J$6:$J$236,$U126))</f>
        <v/>
      </c>
      <c r="N126" s="11" t="str">
        <f aca="false">IF(INDEX(評価項目対応!$N$6:$N$236,$U126)="","",INDEX(評価項目対応!$N$6:$N$236,$U126))</f>
        <v/>
      </c>
      <c r="O126" s="11" t="str">
        <f aca="false">IF(INDEX(評価項目対応!$O$6:$O$236,$U126)="","",INDEX(評価項目対応!$O$6:$O$236,$U126))</f>
        <v/>
      </c>
      <c r="P126" s="27" t="n">
        <f aca="false">COUNTIF(F126:G126,"")+COUNTIF(I126:O126,"")-IF(AND(G126="対象外",K126=""),1,0)</f>
        <v>8</v>
      </c>
      <c r="Q126" s="11" t="str">
        <f aca="false">IF(F126="","会社名コード未設定（D4）",IF(OR(G126="",G126="n/a"),"適用性を確定（評価項目対応I列）",IF(AND(G126="対象外",OR(I126&lt;&gt;"対象外",J126&lt;&gt;"n/a")),"対象外ならR=対象外・S=n/a",IF(AND(G126="対象",OR(I126="対象外",J126="n/a")),"対象なのにR／Sが対象外・n/a",IF(AND(G126="対象",OR(I126="",J126="")),"R・Sを入力",IF(AND(ISNUMBER(J126),ISNUMBER(V126),ABS(N(J126)-N(V126))&gt;=1),"RとSの乖離（案分ならUに明記）",IF(AND(G126="対象",L126=""),"Uに制約・代替策・未検証を記載",IF(AND(G126="対象外",L126=""),"対象外の理由・承認者をUに記載",IF(OR(M126="",N126="",O126=""),"V～Xを入力",IF(P126&gt;0,"未記入あり（P列）","OK"))))))))))</f>
        <v>会社名コード未設定（D4）</v>
      </c>
      <c r="R126" s="11" t="str">
        <f aca="false">IF(INDEX(評価項目対応!$M$6:$M$236,$U126)="","",INDEX(評価項目対応!$M$6:$M$236,$U126))</f>
        <v/>
      </c>
      <c r="S126" s="11" t="str">
        <f aca="false">INDEX(評価項目対応!$H$6:$H$236,$U126)</f>
        <v>Windows固有の要件（PowerShell、LSASS、資格情報保護等）。ChromeOS端末は非該当だが、接続先のAD／Windows環境に適用し得るため既存証跡を確認する。対象外にする場合は理由と承認者を記録する。</v>
      </c>
      <c r="T126" s="11" t="str">
        <f aca="false">TRIM(IF(INDEX(評価項目対応!$K$6:$K$236,$U126)="","","試験ID: "&amp;INDEX(評価項目対応!$K$6:$K$236,$U126)&amp;"　")&amp;IF(INDEX(評価項目対応!$L$6:$L$236,$U126)="","","判断理由: "&amp;INDEX(評価項目対応!$L$6:$L$236,$U126)))</f>
        <v/>
      </c>
      <c r="U126" s="28" t="n">
        <f aca="false">MATCH($A126,評価項目対応!$A$6:$A$236,0)</f>
        <v>120</v>
      </c>
      <c r="V126" s="28" t="str">
        <f aca="false">IFERROR(VLOOKUP(I126,$X$6:$Y$11,2,FALSE()),"")</f>
        <v/>
      </c>
    </row>
    <row r="127" customFormat="false" ht="63.75" hidden="false" customHeight="true" outlineLevel="0" collapsed="false">
      <c r="A127" s="13" t="n">
        <v>123</v>
      </c>
      <c r="B127" s="13" t="n">
        <f aca="false">INDEX(評価項目対応!$B$6:$B$236,$U127)</f>
        <v>114</v>
      </c>
      <c r="C127" s="13" t="str">
        <f aca="false">INDEX(評価項目対応!$F$6:$F$236,$U127)</f>
        <v>3.02</v>
      </c>
      <c r="D127" s="11" t="str">
        <f aca="false">INDEX(評価項目対応!$D$6:$D$236,$U127)</f>
        <v>Webブラウザ制御</v>
      </c>
      <c r="E127" s="11" t="str">
        <f aca="false">INDEX(評価項目対応!$E$6:$E$236,$U127)</f>
        <v>Webブラウジングに起因するマルウェアからシステムを保護するために、
サンドボックス化されたブラウザの実装を検討する。</v>
      </c>
      <c r="F127" s="13" t="str">
        <f aca="false">IF($D$4="","",$D$4)</f>
        <v/>
      </c>
      <c r="G127" s="13" t="str">
        <f aca="false">IFERROR(IF(INDEX(評価項目対応!$I$6:$I$236,$U127)="対象","対象",IF(INDEX(評価項目対応!$I$6:$I$236,$U127)="対象外（承認済）","対象外",IF(INDEX(評価項目対応!$I$6:$I$236,$U127)="未確定","n/a",""))),"")</f>
        <v>n/a</v>
      </c>
      <c r="H127" s="25" t="str">
        <f aca="false">IF(ISBLANK(J127),"",IF(J127=5,"Yes",IF(J127=4,"Yes","No")))</f>
        <v/>
      </c>
      <c r="I127" s="18"/>
      <c r="J127" s="26"/>
      <c r="K127" s="18"/>
      <c r="L127" s="18"/>
      <c r="M127" s="11" t="str">
        <f aca="false">IF(INDEX(評価項目対応!$J$6:$J$236,$U127)="","",INDEX(評価項目対応!$J$6:$J$236,$U127))</f>
        <v/>
      </c>
      <c r="N127" s="11" t="str">
        <f aca="false">IF(INDEX(評価項目対応!$N$6:$N$236,$U127)="","",INDEX(評価項目対応!$N$6:$N$236,$U127))</f>
        <v/>
      </c>
      <c r="O127" s="11" t="str">
        <f aca="false">IF(INDEX(評価項目対応!$O$6:$O$236,$U127)="","",INDEX(評価項目対応!$O$6:$O$236,$U127))</f>
        <v/>
      </c>
      <c r="P127" s="27" t="n">
        <f aca="false">COUNTIF(F127:G127,"")+COUNTIF(I127:O127,"")-IF(AND(G127="対象外",K127=""),1,0)</f>
        <v>8</v>
      </c>
      <c r="Q127" s="11" t="str">
        <f aca="false">IF(F127="","会社名コード未設定（D4）",IF(OR(G127="",G127="n/a"),"適用性を確定（評価項目対応I列）",IF(AND(G127="対象外",OR(I127&lt;&gt;"対象外",J127&lt;&gt;"n/a")),"対象外ならR=対象外・S=n/a",IF(AND(G127="対象",OR(I127="対象外",J127="n/a")),"対象なのにR／Sが対象外・n/a",IF(AND(G127="対象",OR(I127="",J127="")),"R・Sを入力",IF(AND(ISNUMBER(J127),ISNUMBER(V127),ABS(N(J127)-N(V127))&gt;=1),"RとSの乖離（案分ならUに明記）",IF(AND(G127="対象",L127=""),"Uに制約・代替策・未検証を記載",IF(AND(G127="対象外",L127=""),"対象外の理由・承認者をUに記載",IF(OR(M127="",N127="",O127=""),"V～Xを入力",IF(P127&gt;0,"未記入あり（P列）","OK"))))))))))</f>
        <v>会社名コード未設定（D4）</v>
      </c>
      <c r="R127" s="11" t="str">
        <f aca="false">IF(INDEX(評価項目対応!$M$6:$M$236,$U127)="","",INDEX(評価項目対応!$M$6:$M$236,$U127))</f>
        <v/>
      </c>
      <c r="S127" s="11" t="str">
        <f aca="false">INDEX(評価項目対応!$H$6:$H$236,$U127)</f>
        <v>サンドボックス等は公式設計根拠と実機の構成・データ分離結果を分けて記録する。</v>
      </c>
      <c r="T127" s="11" t="str">
        <f aca="false">TRIM(IF(INDEX(評価項目対応!$K$6:$K$236,$U127)="","","試験ID: "&amp;INDEX(評価項目対応!$K$6:$K$236,$U127)&amp;"　")&amp;IF(INDEX(評価項目対応!$L$6:$L$236,$U127)="","","判断理由: "&amp;INDEX(評価項目対応!$L$6:$L$236,$U127)))</f>
        <v/>
      </c>
      <c r="U127" s="28" t="n">
        <f aca="false">MATCH($A127,評価項目対応!$A$6:$A$236,0)</f>
        <v>121</v>
      </c>
      <c r="V127" s="28" t="str">
        <f aca="false">IFERROR(VLOOKUP(I127,$X$6:$Y$11,2,FALSE()),"")</f>
        <v/>
      </c>
    </row>
    <row r="128" customFormat="false" ht="49.5" hidden="false" customHeight="true" outlineLevel="0" collapsed="false">
      <c r="A128" s="13" t="n">
        <v>124</v>
      </c>
      <c r="B128" s="13" t="n">
        <f aca="false">INDEX(評価項目対応!$B$6:$B$236,$U128)</f>
        <v>115</v>
      </c>
      <c r="C128" s="13" t="str">
        <f aca="false">INDEX(評価項目対応!$F$6:$F$236,$U128)</f>
        <v>3.02</v>
      </c>
      <c r="D128" s="11" t="str">
        <f aca="false">INDEX(評価項目対応!$D$6:$D$236,$U128)</f>
        <v>Webブラウザ制御</v>
      </c>
      <c r="E128" s="11" t="str">
        <f aca="false">INDEX(評価項目対応!$E$6:$E$236,$U128)</f>
        <v>サンドボックス化されたブラウザは、ホストマシンを悪意のあるコードか
ら分離する。</v>
      </c>
      <c r="F128" s="13" t="str">
        <f aca="false">IF($D$4="","",$D$4)</f>
        <v/>
      </c>
      <c r="G128" s="13" t="str">
        <f aca="false">IFERROR(IF(INDEX(評価項目対応!$I$6:$I$236,$U128)="対象","対象",IF(INDEX(評価項目対応!$I$6:$I$236,$U128)="対象外（承認済）","対象外",IF(INDEX(評価項目対応!$I$6:$I$236,$U128)="未確定","n/a",""))),"")</f>
        <v>n/a</v>
      </c>
      <c r="H128" s="25" t="str">
        <f aca="false">IF(ISBLANK(J128),"",IF(J128=5,"Yes",IF(J128=4,"Yes","No")))</f>
        <v/>
      </c>
      <c r="I128" s="18"/>
      <c r="J128" s="26"/>
      <c r="K128" s="18"/>
      <c r="L128" s="18"/>
      <c r="M128" s="11" t="str">
        <f aca="false">IF(INDEX(評価項目対応!$J$6:$J$236,$U128)="","",INDEX(評価項目対応!$J$6:$J$236,$U128))</f>
        <v/>
      </c>
      <c r="N128" s="11" t="str">
        <f aca="false">IF(INDEX(評価項目対応!$N$6:$N$236,$U128)="","",INDEX(評価項目対応!$N$6:$N$236,$U128))</f>
        <v/>
      </c>
      <c r="O128" s="11" t="str">
        <f aca="false">IF(INDEX(評価項目対応!$O$6:$O$236,$U128)="","",INDEX(評価項目対応!$O$6:$O$236,$U128))</f>
        <v/>
      </c>
      <c r="P128" s="27" t="n">
        <f aca="false">COUNTIF(F128:G128,"")+COUNTIF(I128:O128,"")-IF(AND(G128="対象外",K128=""),1,0)</f>
        <v>8</v>
      </c>
      <c r="Q128" s="11" t="str">
        <f aca="false">IF(F128="","会社名コード未設定（D4）",IF(OR(G128="",G128="n/a"),"適用性を確定（評価項目対応I列）",IF(AND(G128="対象外",OR(I128&lt;&gt;"対象外",J128&lt;&gt;"n/a")),"対象外ならR=対象外・S=n/a",IF(AND(G128="対象",OR(I128="対象外",J128="n/a")),"対象なのにR／Sが対象外・n/a",IF(AND(G128="対象",OR(I128="",J128="")),"R・Sを入力",IF(AND(ISNUMBER(J128),ISNUMBER(V128),ABS(N(J128)-N(V128))&gt;=1),"RとSの乖離（案分ならUに明記）",IF(AND(G128="対象",L128=""),"Uに制約・代替策・未検証を記載",IF(AND(G128="対象外",L128=""),"対象外の理由・承認者をUに記載",IF(OR(M128="",N128="",O128=""),"V～Xを入力",IF(P128&gt;0,"未記入あり（P列）","OK"))))))))))</f>
        <v>会社名コード未設定（D4）</v>
      </c>
      <c r="R128" s="11" t="str">
        <f aca="false">IF(INDEX(評価項目対応!$M$6:$M$236,$U128)="","",INDEX(評価項目対応!$M$6:$M$236,$U128))</f>
        <v/>
      </c>
      <c r="S128" s="11" t="str">
        <f aca="false">INDEX(評価項目対応!$H$6:$H$236,$U128)</f>
        <v>サンドボックス等は公式設計根拠と実機の構成・データ分離結果を分けて記録する。</v>
      </c>
      <c r="T128" s="11" t="str">
        <f aca="false">TRIM(IF(INDEX(評価項目対応!$K$6:$K$236,$U128)="","","試験ID: "&amp;INDEX(評価項目対応!$K$6:$K$236,$U128)&amp;"　")&amp;IF(INDEX(評価項目対応!$L$6:$L$236,$U128)="","","判断理由: "&amp;INDEX(評価項目対応!$L$6:$L$236,$U128)))</f>
        <v/>
      </c>
      <c r="U128" s="28" t="n">
        <f aca="false">MATCH($A128,評価項目対応!$A$6:$A$236,0)</f>
        <v>122</v>
      </c>
      <c r="V128" s="28" t="str">
        <f aca="false">IFERROR(VLOOKUP(I128,$X$6:$Y$11,2,FALSE()),"")</f>
        <v/>
      </c>
    </row>
    <row r="129" customFormat="false" ht="105.75" hidden="false" customHeight="true" outlineLevel="0" collapsed="false">
      <c r="A129" s="13" t="n">
        <v>125</v>
      </c>
      <c r="B129" s="13" t="n">
        <f aca="false">INDEX(評価項目対応!$B$6:$B$236,$U129)</f>
        <v>104</v>
      </c>
      <c r="C129" s="13" t="str">
        <f aca="false">INDEX(評価項目対応!$F$6:$F$236,$U129)</f>
        <v>3.03</v>
      </c>
      <c r="D129" s="11" t="str">
        <f aca="false">INDEX(評価項目対応!$D$6:$D$236,$U129)</f>
        <v>アプリケーション制御</v>
      </c>
      <c r="E129" s="11" t="str">
        <f aca="false">INDEX(評価項目対応!$E$6:$E$236,$U129)</f>
        <v>すべての資産でアプリケーションホワイトリスティングとエンドポイント
検出および応答（EDR）ソリューションを使用して、許可されたソフトウ
ェアのみが実行可能であり、許可されていないすべてのソフトウェアがブ
ロックされるようにする。</v>
      </c>
      <c r="F129" s="13" t="str">
        <f aca="false">IF($D$4="","",$D$4)</f>
        <v/>
      </c>
      <c r="G129" s="13" t="str">
        <f aca="false">IFERROR(IF(INDEX(評価項目対応!$I$6:$I$236,$U129)="対象","対象",IF(INDEX(評価項目対応!$I$6:$I$236,$U129)="対象外（承認済）","対象外",IF(INDEX(評価項目対応!$I$6:$I$236,$U129)="未確定","n/a",""))),"")</f>
        <v>n/a</v>
      </c>
      <c r="H129" s="25" t="str">
        <f aca="false">IF(ISBLANK(J129),"",IF(J129=5,"Yes",IF(J129=4,"Yes","No")))</f>
        <v/>
      </c>
      <c r="I129" s="18"/>
      <c r="J129" s="26"/>
      <c r="K129" s="18"/>
      <c r="L129" s="18"/>
      <c r="M129" s="11" t="str">
        <f aca="false">IF(INDEX(評価項目対応!$J$6:$J$236,$U129)="","",INDEX(評価項目対応!$J$6:$J$236,$U129))</f>
        <v/>
      </c>
      <c r="N129" s="11" t="str">
        <f aca="false">IF(INDEX(評価項目対応!$N$6:$N$236,$U129)="","",INDEX(評価項目対応!$N$6:$N$236,$U129))</f>
        <v/>
      </c>
      <c r="O129" s="11" t="str">
        <f aca="false">IF(INDEX(評価項目対応!$O$6:$O$236,$U129)="","",INDEX(評価項目対応!$O$6:$O$236,$U129))</f>
        <v/>
      </c>
      <c r="P129" s="27" t="n">
        <f aca="false">COUNTIF(F129:G129,"")+COUNTIF(I129:O129,"")-IF(AND(G129="対象外",K129=""),1,0)</f>
        <v>8</v>
      </c>
      <c r="Q129" s="11" t="str">
        <f aca="false">IF(F129="","会社名コード未設定（D4）",IF(OR(G129="",G129="n/a"),"適用性を確定（評価項目対応I列）",IF(AND(G129="対象外",OR(I129&lt;&gt;"対象外",J129&lt;&gt;"n/a")),"対象外ならR=対象外・S=n/a",IF(AND(G129="対象",OR(I129="対象外",J129="n/a")),"対象なのにR／Sが対象外・n/a",IF(AND(G129="対象",OR(I129="",J129="")),"R・Sを入力",IF(AND(ISNUMBER(J129),ISNUMBER(V129),ABS(N(J129)-N(V129))&gt;=1),"RとSの乖離（案分ならUに明記）",IF(AND(G129="対象",L129=""),"Uに制約・代替策・未検証を記載",IF(AND(G129="対象外",L129=""),"対象外の理由・承認者をUに記載",IF(OR(M129="",N129="",O129=""),"V～Xを入力",IF(P129&gt;0,"未記入あり（P列）","OK"))))))))))</f>
        <v>会社名コード未設定（D4）</v>
      </c>
      <c r="R129" s="11" t="str">
        <f aca="false">IF(INDEX(評価項目対応!$M$6:$M$236,$U129)="","",INDEX(評価項目対応!$M$6:$M$236,$U129))</f>
        <v/>
      </c>
      <c r="S129" s="11" t="str">
        <f aca="false">INDEX(評価項目対応!$H$6:$H$236,$U129)</f>
        <v>許可リスト・導入権限制限を確認する。Android／OAuthは3.04／3.05、EDR部分は3.09と併せて評価する。</v>
      </c>
      <c r="T129" s="11" t="str">
        <f aca="false">TRIM(IF(INDEX(評価項目対応!$K$6:$K$236,$U129)="","","試験ID: "&amp;INDEX(評価項目対応!$K$6:$K$236,$U129)&amp;"　")&amp;IF(INDEX(評価項目対応!$L$6:$L$236,$U129)="","","判断理由: "&amp;INDEX(評価項目対応!$L$6:$L$236,$U129)))</f>
        <v/>
      </c>
      <c r="U129" s="28" t="n">
        <f aca="false">MATCH($A129,評価項目対応!$A$6:$A$236,0)</f>
        <v>123</v>
      </c>
      <c r="V129" s="28" t="str">
        <f aca="false">IFERROR(VLOOKUP(I129,$X$6:$Y$11,2,FALSE()),"")</f>
        <v/>
      </c>
    </row>
    <row r="130" customFormat="false" ht="78" hidden="false" customHeight="true" outlineLevel="0" collapsed="false">
      <c r="A130" s="13" t="n">
        <v>126</v>
      </c>
      <c r="B130" s="13" t="n">
        <f aca="false">INDEX(評価項目対応!$B$6:$B$236,$U130)</f>
        <v>105</v>
      </c>
      <c r="C130" s="13" t="str">
        <f aca="false">INDEX(評価項目対応!$F$6:$F$236,$U130)</f>
        <v>4.04d</v>
      </c>
      <c r="D130" s="11" t="str">
        <f aca="false">INDEX(評価項目対応!$D$6:$D$236,$U130)</f>
        <v>アプリケーション制御</v>
      </c>
      <c r="E130" s="11" t="str">
        <f aca="false">INDEX(評価項目対応!$E$6:$E$236,$U130)</f>
        <v>Windowsの場合、これらの機能をサポートするすべてのシステムでWindows
 Defenderアプリケーションチェック項目またはAppLocker、あるいはその
両方を有効にする。</v>
      </c>
      <c r="F130" s="13" t="str">
        <f aca="false">IF($D$4="","",$D$4)</f>
        <v/>
      </c>
      <c r="G130" s="13" t="str">
        <f aca="false">IFERROR(IF(INDEX(評価項目対応!$I$6:$I$236,$U130)="対象","対象",IF(INDEX(評価項目対応!$I$6:$I$236,$U130)="対象外（承認済）","対象外",IF(INDEX(評価項目対応!$I$6:$I$236,$U130)="未確定","n/a",""))),"")</f>
        <v>n/a</v>
      </c>
      <c r="H130" s="25" t="str">
        <f aca="false">IF(ISBLANK(J130),"",IF(J130=5,"Yes",IF(J130=4,"Yes","No")))</f>
        <v/>
      </c>
      <c r="I130" s="18"/>
      <c r="J130" s="26"/>
      <c r="K130" s="18"/>
      <c r="L130" s="18"/>
      <c r="M130" s="11" t="str">
        <f aca="false">IF(INDEX(評価項目対応!$J$6:$J$236,$U130)="","",INDEX(評価項目対応!$J$6:$J$236,$U130))</f>
        <v/>
      </c>
      <c r="N130" s="11" t="str">
        <f aca="false">IF(INDEX(評価項目対応!$N$6:$N$236,$U130)="","",INDEX(評価項目対応!$N$6:$N$236,$U130))</f>
        <v/>
      </c>
      <c r="O130" s="11" t="str">
        <f aca="false">IF(INDEX(評価項目対応!$O$6:$O$236,$U130)="","",INDEX(評価項目対応!$O$6:$O$236,$U130))</f>
        <v/>
      </c>
      <c r="P130" s="27" t="n">
        <f aca="false">COUNTIF(F130:G130,"")+COUNTIF(I130:O130,"")-IF(AND(G130="対象外",K130=""),1,0)</f>
        <v>8</v>
      </c>
      <c r="Q130" s="11" t="str">
        <f aca="false">IF(F130="","会社名コード未設定（D4）",IF(OR(G130="",G130="n/a"),"適用性を確定（評価項目対応I列）",IF(AND(G130="対象外",OR(I130&lt;&gt;"対象外",J130&lt;&gt;"n/a")),"対象外ならR=対象外・S=n/a",IF(AND(G130="対象",OR(I130="対象外",J130="n/a")),"対象なのにR／Sが対象外・n/a",IF(AND(G130="対象",OR(I130="",J130="")),"R・Sを入力",IF(AND(ISNUMBER(J130),ISNUMBER(V130),ABS(N(J130)-N(V130))&gt;=1),"RとSの乖離（案分ならUに明記）",IF(AND(G130="対象",L130=""),"Uに制約・代替策・未検証を記載",IF(AND(G130="対象外",L130=""),"対象外の理由・承認者をUに記載",IF(OR(M130="",N130="",O130=""),"V～Xを入力",IF(P130&gt;0,"未記入あり（P列）","OK"))))))))))</f>
        <v>会社名コード未設定（D4）</v>
      </c>
      <c r="R130" s="11" t="str">
        <f aca="false">IF(INDEX(評価項目対応!$M$6:$M$236,$U130)="","",INDEX(評価項目対応!$M$6:$M$236,$U130))</f>
        <v/>
      </c>
      <c r="S130" s="11" t="str">
        <f aca="false">INDEX(評価項目対応!$H$6:$H$236,$U130)</f>
        <v>仮想化基盤、アプリ制御、アンチマルウェア運用、ツール使用調査、認証ログの既存証跡を担当者から受領し、ChromeOSで変わる点のみ補足する。</v>
      </c>
      <c r="T130" s="11" t="str">
        <f aca="false">TRIM(IF(INDEX(評価項目対応!$K$6:$K$236,$U130)="","","試験ID: "&amp;INDEX(評価項目対応!$K$6:$K$236,$U130)&amp;"　")&amp;IF(INDEX(評価項目対応!$L$6:$L$236,$U130)="","","判断理由: "&amp;INDEX(評価項目対応!$L$6:$L$236,$U130)))</f>
        <v/>
      </c>
      <c r="U130" s="28" t="n">
        <f aca="false">MATCH($A130,評価項目対応!$A$6:$A$236,0)</f>
        <v>124</v>
      </c>
      <c r="V130" s="28" t="str">
        <f aca="false">IFERROR(VLOOKUP(I130,$X$6:$Y$11,2,FALSE()),"")</f>
        <v/>
      </c>
    </row>
    <row r="131" customFormat="false" ht="63.75" hidden="false" customHeight="true" outlineLevel="0" collapsed="false">
      <c r="A131" s="13" t="n">
        <v>127</v>
      </c>
      <c r="B131" s="13" t="n">
        <f aca="false">INDEX(評価項目対応!$B$6:$B$236,$U131)</f>
        <v>106</v>
      </c>
      <c r="C131" s="13" t="str">
        <f aca="false">INDEX(評価項目対応!$F$6:$F$236,$U131)</f>
        <v>3.03</v>
      </c>
      <c r="D131" s="11" t="str">
        <f aca="false">INDEX(評価項目対応!$D$6:$D$236,$U131)</f>
        <v>アプリケーション制御</v>
      </c>
      <c r="E131" s="11" t="str">
        <f aca="false">INDEX(評価項目対応!$E$6:$E$236,$U131)</f>
        <v>ネットワーク環境内のアプリケーションのあらゆる可能な順列をリストア
ップして拒否しようとするのではなく、許可リストを使用する。</v>
      </c>
      <c r="F131" s="13" t="str">
        <f aca="false">IF($D$4="","",$D$4)</f>
        <v/>
      </c>
      <c r="G131" s="13" t="str">
        <f aca="false">IFERROR(IF(INDEX(評価項目対応!$I$6:$I$236,$U131)="対象","対象",IF(INDEX(評価項目対応!$I$6:$I$236,$U131)="対象外（承認済）","対象外",IF(INDEX(評価項目対応!$I$6:$I$236,$U131)="未確定","n/a",""))),"")</f>
        <v>n/a</v>
      </c>
      <c r="H131" s="25" t="str">
        <f aca="false">IF(ISBLANK(J131),"",IF(J131=5,"Yes",IF(J131=4,"Yes","No")))</f>
        <v/>
      </c>
      <c r="I131" s="18"/>
      <c r="J131" s="26"/>
      <c r="K131" s="18"/>
      <c r="L131" s="18"/>
      <c r="M131" s="11" t="str">
        <f aca="false">IF(INDEX(評価項目対応!$J$6:$J$236,$U131)="","",INDEX(評価項目対応!$J$6:$J$236,$U131))</f>
        <v/>
      </c>
      <c r="N131" s="11" t="str">
        <f aca="false">IF(INDEX(評価項目対応!$N$6:$N$236,$U131)="","",INDEX(評価項目対応!$N$6:$N$236,$U131))</f>
        <v/>
      </c>
      <c r="O131" s="11" t="str">
        <f aca="false">IF(INDEX(評価項目対応!$O$6:$O$236,$U131)="","",INDEX(評価項目対応!$O$6:$O$236,$U131))</f>
        <v/>
      </c>
      <c r="P131" s="27" t="n">
        <f aca="false">COUNTIF(F131:G131,"")+COUNTIF(I131:O131,"")-IF(AND(G131="対象外",K131=""),1,0)</f>
        <v>8</v>
      </c>
      <c r="Q131" s="11" t="str">
        <f aca="false">IF(F131="","会社名コード未設定（D4）",IF(OR(G131="",G131="n/a"),"適用性を確定（評価項目対応I列）",IF(AND(G131="対象外",OR(I131&lt;&gt;"対象外",J131&lt;&gt;"n/a")),"対象外ならR=対象外・S=n/a",IF(AND(G131="対象",OR(I131="対象外",J131="n/a")),"対象なのにR／Sが対象外・n/a",IF(AND(G131="対象",OR(I131="",J131="")),"R・Sを入力",IF(AND(ISNUMBER(J131),ISNUMBER(V131),ABS(N(J131)-N(V131))&gt;=1),"RとSの乖離（案分ならUに明記）",IF(AND(G131="対象",L131=""),"Uに制約・代替策・未検証を記載",IF(AND(G131="対象外",L131=""),"対象外の理由・承認者をUに記載",IF(OR(M131="",N131="",O131=""),"V～Xを入力",IF(P131&gt;0,"未記入あり（P列）","OK"))))))))))</f>
        <v>会社名コード未設定（D4）</v>
      </c>
      <c r="R131" s="11" t="str">
        <f aca="false">IF(INDEX(評価項目対応!$M$6:$M$236,$U131)="","",INDEX(評価項目対応!$M$6:$M$236,$U131))</f>
        <v/>
      </c>
      <c r="S131" s="11" t="str">
        <f aca="false">INDEX(評価項目対応!$H$6:$H$236,$U131)</f>
        <v>許可リスト・導入権限制限を確認する。Android／OAuthは3.04／3.05、EDR部分は3.09と併せて評価する。</v>
      </c>
      <c r="T131" s="11" t="str">
        <f aca="false">TRIM(IF(INDEX(評価項目対応!$K$6:$K$236,$U131)="","","試験ID: "&amp;INDEX(評価項目対応!$K$6:$K$236,$U131)&amp;"　")&amp;IF(INDEX(評価項目対応!$L$6:$L$236,$U131)="","","判断理由: "&amp;INDEX(評価項目対応!$L$6:$L$236,$U131)))</f>
        <v/>
      </c>
      <c r="U131" s="28" t="n">
        <f aca="false">MATCH($A131,評価項目対応!$A$6:$A$236,0)</f>
        <v>125</v>
      </c>
      <c r="V131" s="28" t="str">
        <f aca="false">IFERROR(VLOOKUP(I131,$X$6:$Y$11,2,FALSE()),"")</f>
        <v/>
      </c>
    </row>
    <row r="132" customFormat="false" ht="49.5" hidden="false" customHeight="true" outlineLevel="0" collapsed="false">
      <c r="A132" s="13" t="n">
        <v>128</v>
      </c>
      <c r="B132" s="13" t="n">
        <f aca="false">INDEX(評価項目対応!$B$6:$B$236,$U132)</f>
        <v>125</v>
      </c>
      <c r="C132" s="13" t="str">
        <f aca="false">INDEX(評価項目対応!$F$6:$F$236,$U132)</f>
        <v>3.03</v>
      </c>
      <c r="D132" s="11" t="str">
        <f aca="false">INDEX(評価項目対応!$D$6:$D$236,$U132)</f>
        <v>アプリケーション制御</v>
      </c>
      <c r="E132" s="11" t="str">
        <f aca="false">INDEX(評価項目対応!$E$6:$E$236,$U132)</f>
        <v>ソフトウェアアプリケーションのインストールと実行に関するユーザー権
限を制限する。</v>
      </c>
      <c r="F132" s="13" t="str">
        <f aca="false">IF($D$4="","",$D$4)</f>
        <v/>
      </c>
      <c r="G132" s="13" t="str">
        <f aca="false">IFERROR(IF(INDEX(評価項目対応!$I$6:$I$236,$U132)="対象","対象",IF(INDEX(評価項目対応!$I$6:$I$236,$U132)="対象外（承認済）","対象外",IF(INDEX(評価項目対応!$I$6:$I$236,$U132)="未確定","n/a",""))),"")</f>
        <v>n/a</v>
      </c>
      <c r="H132" s="25" t="str">
        <f aca="false">IF(ISBLANK(J132),"",IF(J132=5,"Yes",IF(J132=4,"Yes","No")))</f>
        <v/>
      </c>
      <c r="I132" s="18"/>
      <c r="J132" s="26"/>
      <c r="K132" s="18"/>
      <c r="L132" s="18"/>
      <c r="M132" s="11" t="str">
        <f aca="false">IF(INDEX(評価項目対応!$J$6:$J$236,$U132)="","",INDEX(評価項目対応!$J$6:$J$236,$U132))</f>
        <v/>
      </c>
      <c r="N132" s="11" t="str">
        <f aca="false">IF(INDEX(評価項目対応!$N$6:$N$236,$U132)="","",INDEX(評価項目対応!$N$6:$N$236,$U132))</f>
        <v/>
      </c>
      <c r="O132" s="11" t="str">
        <f aca="false">IF(INDEX(評価項目対応!$O$6:$O$236,$U132)="","",INDEX(評価項目対応!$O$6:$O$236,$U132))</f>
        <v/>
      </c>
      <c r="P132" s="27" t="n">
        <f aca="false">COUNTIF(F132:G132,"")+COUNTIF(I132:O132,"")-IF(AND(G132="対象外",K132=""),1,0)</f>
        <v>8</v>
      </c>
      <c r="Q132" s="11" t="str">
        <f aca="false">IF(F132="","会社名コード未設定（D4）",IF(OR(G132="",G132="n/a"),"適用性を確定（評価項目対応I列）",IF(AND(G132="対象外",OR(I132&lt;&gt;"対象外",J132&lt;&gt;"n/a")),"対象外ならR=対象外・S=n/a",IF(AND(G132="対象",OR(I132="対象外",J132="n/a")),"対象なのにR／Sが対象外・n/a",IF(AND(G132="対象",OR(I132="",J132="")),"R・Sを入力",IF(AND(ISNUMBER(J132),ISNUMBER(V132),ABS(N(J132)-N(V132))&gt;=1),"RとSの乖離（案分ならUに明記）",IF(AND(G132="対象",L132=""),"Uに制約・代替策・未検証を記載",IF(AND(G132="対象外",L132=""),"対象外の理由・承認者をUに記載",IF(OR(M132="",N132="",O132=""),"V～Xを入力",IF(P132&gt;0,"未記入あり（P列）","OK"))))))))))</f>
        <v>会社名コード未設定（D4）</v>
      </c>
      <c r="R132" s="11" t="str">
        <f aca="false">IF(INDEX(評価項目対応!$M$6:$M$236,$U132)="","",INDEX(評価項目対応!$M$6:$M$236,$U132))</f>
        <v/>
      </c>
      <c r="S132" s="11" t="str">
        <f aca="false">INDEX(評価項目対応!$H$6:$H$236,$U132)</f>
        <v>許可リスト・導入権限制限を確認する。Android／OAuthは3.04／3.05、EDR部分は3.09と併せて評価する。</v>
      </c>
      <c r="T132" s="11" t="str">
        <f aca="false">TRIM(IF(INDEX(評価項目対応!$K$6:$K$236,$U132)="","","試験ID: "&amp;INDEX(評価項目対応!$K$6:$K$236,$U132)&amp;"　")&amp;IF(INDEX(評価項目対応!$L$6:$L$236,$U132)="","","判断理由: "&amp;INDEX(評価項目対応!$L$6:$L$236,$U132)))</f>
        <v/>
      </c>
      <c r="U132" s="28" t="n">
        <f aca="false">MATCH($A132,評価項目対応!$A$6:$A$236,0)</f>
        <v>126</v>
      </c>
      <c r="V132" s="28" t="str">
        <f aca="false">IFERROR(VLOOKUP(I132,$X$6:$Y$11,2,FALSE()),"")</f>
        <v/>
      </c>
    </row>
    <row r="133" customFormat="false" ht="63.75" hidden="false" customHeight="true" outlineLevel="0" collapsed="false">
      <c r="A133" s="13" t="n">
        <v>129</v>
      </c>
      <c r="B133" s="13" t="n">
        <f aca="false">INDEX(評価項目対応!$B$6:$B$236,$U133)</f>
        <v>41</v>
      </c>
      <c r="C133" s="13" t="str">
        <f aca="false">INDEX(評価項目対応!$F$6:$F$236,$U133)</f>
        <v>3.08</v>
      </c>
      <c r="D133" s="11" t="str">
        <f aca="false">INDEX(評価項目対応!$D$6:$D$236,$U133)</f>
        <v>クラウドの運用管理</v>
      </c>
      <c r="E133" s="11" t="str">
        <f aca="false">INDEX(評価項目対応!$E$6:$E$236,$U133)</f>
        <v>一貫したベースラインを確保するためのリソースの監査を自動化または容
易にするために、クラウドプロバイダーのサービスを活用する。</v>
      </c>
      <c r="F133" s="13" t="str">
        <f aca="false">IF($D$4="","",$D$4)</f>
        <v/>
      </c>
      <c r="G133" s="13" t="str">
        <f aca="false">IFERROR(IF(INDEX(評価項目対応!$I$6:$I$236,$U133)="対象","対象",IF(INDEX(評価項目対応!$I$6:$I$236,$U133)="対象外（承認済）","対象外",IF(INDEX(評価項目対応!$I$6:$I$236,$U133)="未確定","n/a",""))),"")</f>
        <v>n/a</v>
      </c>
      <c r="H133" s="25" t="str">
        <f aca="false">IF(ISBLANK(J133),"",IF(J133=5,"Yes",IF(J133=4,"Yes","No")))</f>
        <v/>
      </c>
      <c r="I133" s="18"/>
      <c r="J133" s="26"/>
      <c r="K133" s="18"/>
      <c r="L133" s="18"/>
      <c r="M133" s="11" t="str">
        <f aca="false">IF(INDEX(評価項目対応!$J$6:$J$236,$U133)="","",INDEX(評価項目対応!$J$6:$J$236,$U133))</f>
        <v/>
      </c>
      <c r="N133" s="11" t="str">
        <f aca="false">IF(INDEX(評価項目対応!$N$6:$N$236,$U133)="","",INDEX(評価項目対応!$N$6:$N$236,$U133))</f>
        <v/>
      </c>
      <c r="O133" s="11" t="str">
        <f aca="false">IF(INDEX(評価項目対応!$O$6:$O$236,$U133)="","",INDEX(評価項目対応!$O$6:$O$236,$U133))</f>
        <v/>
      </c>
      <c r="P133" s="27" t="n">
        <f aca="false">COUNTIF(F133:G133,"")+COUNTIF(I133:O133,"")-IF(AND(G133="対象外",K133=""),1,0)</f>
        <v>8</v>
      </c>
      <c r="Q133" s="11" t="str">
        <f aca="false">IF(F133="","会社名コード未設定（D4）",IF(OR(G133="",G133="n/a"),"適用性を確定（評価項目対応I列）",IF(AND(G133="対象外",OR(I133&lt;&gt;"対象外",J133&lt;&gt;"n/a")),"対象外ならR=対象外・S=n/a",IF(AND(G133="対象",OR(I133="対象外",J133="n/a")),"対象なのにR／Sが対象外・n/a",IF(AND(G133="対象",OR(I133="",J133="")),"R・Sを入力",IF(AND(ISNUMBER(J133),ISNUMBER(V133),ABS(N(J133)-N(V133))&gt;=1),"RとSの乖離（案分ならUに明記）",IF(AND(G133="対象",L133=""),"Uに制約・代替策・未検証を記載",IF(AND(G133="対象外",L133=""),"対象外の理由・承認者をUに記載",IF(OR(M133="",N133="",O133=""),"V～Xを入力",IF(P133&gt;0,"未記入あり（P列）","OK"))))))))))</f>
        <v>会社名コード未設定（D4）</v>
      </c>
      <c r="R133" s="11" t="str">
        <f aca="false">IF(INDEX(評価項目対応!$M$6:$M$236,$U133)="","",INDEX(評価項目対応!$M$6:$M$236,$U133))</f>
        <v/>
      </c>
      <c r="S133" s="11" t="str">
        <f aca="false">INDEX(評価項目対応!$H$6:$H$236,$U133)</f>
        <v>Google管理ポリシーの承認基線と実効値、変更履歴、差分検出・復元を確認する。</v>
      </c>
      <c r="T133" s="11" t="str">
        <f aca="false">TRIM(IF(INDEX(評価項目対応!$K$6:$K$236,$U133)="","","試験ID: "&amp;INDEX(評価項目対応!$K$6:$K$236,$U133)&amp;"　")&amp;IF(INDEX(評価項目対応!$L$6:$L$236,$U133)="","","判断理由: "&amp;INDEX(評価項目対応!$L$6:$L$236,$U133)))</f>
        <v/>
      </c>
      <c r="U133" s="28" t="n">
        <f aca="false">MATCH($A133,評価項目対応!$A$6:$A$236,0)</f>
        <v>127</v>
      </c>
      <c r="V133" s="28" t="str">
        <f aca="false">IFERROR(VLOOKUP(I133,$X$6:$Y$11,2,FALSE()),"")</f>
        <v/>
      </c>
    </row>
    <row r="134" customFormat="false" ht="49.5" hidden="false" customHeight="true" outlineLevel="0" collapsed="false">
      <c r="A134" s="13" t="n">
        <v>130</v>
      </c>
      <c r="B134" s="13" t="n">
        <f aca="false">INDEX(評価項目対応!$B$6:$B$236,$U134)</f>
        <v>32</v>
      </c>
      <c r="C134" s="13" t="str">
        <f aca="false">INDEX(評価項目対応!$F$6:$F$236,$U134)</f>
        <v>1.08</v>
      </c>
      <c r="D134" s="11" t="str">
        <f aca="false">INDEX(評価項目対応!$D$6:$D$236,$U134)</f>
        <v>デバイス管理</v>
      </c>
      <c r="E134" s="11" t="str">
        <f aca="false">INDEX(評価項目対応!$E$6:$E$236,$U134)</f>
        <v>すべてのオンプレミスのデバイスが適切に構成され、セキュリティ機能が
有効になっていることを確認する。</v>
      </c>
      <c r="F134" s="13" t="str">
        <f aca="false">IF($D$4="","",$D$4)</f>
        <v/>
      </c>
      <c r="G134" s="13" t="str">
        <f aca="false">IFERROR(IF(INDEX(評価項目対応!$I$6:$I$236,$U134)="対象","対象",IF(INDEX(評価項目対応!$I$6:$I$236,$U134)="対象外（承認済）","対象外",IF(INDEX(評価項目対応!$I$6:$I$236,$U134)="未確定","n/a",""))),"")</f>
        <v>n/a</v>
      </c>
      <c r="H134" s="25" t="str">
        <f aca="false">IF(ISBLANK(J134),"",IF(J134=5,"Yes",IF(J134=4,"Yes","No")))</f>
        <v/>
      </c>
      <c r="I134" s="18"/>
      <c r="J134" s="26"/>
      <c r="K134" s="18"/>
      <c r="L134" s="18"/>
      <c r="M134" s="11" t="str">
        <f aca="false">IF(INDEX(評価項目対応!$J$6:$J$236,$U134)="","",INDEX(評価項目対応!$J$6:$J$236,$U134))</f>
        <v/>
      </c>
      <c r="N134" s="11" t="str">
        <f aca="false">IF(INDEX(評価項目対応!$N$6:$N$236,$U134)="","",INDEX(評価項目対応!$N$6:$N$236,$U134))</f>
        <v/>
      </c>
      <c r="O134" s="11" t="str">
        <f aca="false">IF(INDEX(評価項目対応!$O$6:$O$236,$U134)="","",INDEX(評価項目対応!$O$6:$O$236,$U134))</f>
        <v/>
      </c>
      <c r="P134" s="27" t="n">
        <f aca="false">COUNTIF(F134:G134,"")+COUNTIF(I134:O134,"")-IF(AND(G134="対象外",K134=""),1,0)</f>
        <v>8</v>
      </c>
      <c r="Q134" s="11" t="str">
        <f aca="false">IF(F134="","会社名コード未設定（D4）",IF(OR(G134="",G134="n/a"),"適用性を確定（評価項目対応I列）",IF(AND(G134="対象外",OR(I134&lt;&gt;"対象外",J134&lt;&gt;"n/a")),"対象外ならR=対象外・S=n/a",IF(AND(G134="対象",OR(I134="対象外",J134="n/a")),"対象なのにR／Sが対象外・n/a",IF(AND(G134="対象",OR(I134="",J134="")),"R・Sを入力",IF(AND(ISNUMBER(J134),ISNUMBER(V134),ABS(N(J134)-N(V134))&gt;=1),"RとSの乖離（案分ならUに明記）",IF(AND(G134="対象",L134=""),"Uに制約・代替策・未検証を記載",IF(AND(G134="対象外",L134=""),"対象外の理由・承認者をUに記載",IF(OR(M134="",N134="",O134=""),"V～Xを入力",IF(P134&gt;0,"未記入あり（P列）","OK"))))))))))</f>
        <v>会社名コード未設定（D4）</v>
      </c>
      <c r="R134" s="11" t="str">
        <f aca="false">IF(INDEX(評価項目対応!$M$6:$M$236,$U134)="","",INDEX(評価項目対応!$M$6:$M$236,$U134))</f>
        <v/>
      </c>
      <c r="S134" s="11" t="str">
        <f aca="false">INDEX(評価項目対応!$H$6:$H$236,$U134)</f>
        <v>端末・クラウド・モバイル・私物機器を分類し、管理基線と実効ポリシーを確認する。</v>
      </c>
      <c r="T134" s="11" t="str">
        <f aca="false">TRIM(IF(INDEX(評価項目対応!$K$6:$K$236,$U134)="","","試験ID: "&amp;INDEX(評価項目対応!$K$6:$K$236,$U134)&amp;"　")&amp;IF(INDEX(評価項目対応!$L$6:$L$236,$U134)="","","判断理由: "&amp;INDEX(評価項目対応!$L$6:$L$236,$U134)))</f>
        <v/>
      </c>
      <c r="U134" s="28" t="n">
        <f aca="false">MATCH($A134,評価項目対応!$A$6:$A$236,0)</f>
        <v>128</v>
      </c>
      <c r="V134" s="28" t="str">
        <f aca="false">IFERROR(VLOOKUP(I134,$X$6:$Y$11,2,FALSE()),"")</f>
        <v/>
      </c>
    </row>
    <row r="135" customFormat="false" ht="49.5" hidden="false" customHeight="true" outlineLevel="0" collapsed="false">
      <c r="A135" s="13" t="n">
        <v>131</v>
      </c>
      <c r="B135" s="13" t="n">
        <f aca="false">INDEX(評価項目対応!$B$6:$B$236,$U135)</f>
        <v>33</v>
      </c>
      <c r="C135" s="13" t="str">
        <f aca="false">INDEX(評価項目対応!$F$6:$F$236,$U135)</f>
        <v>1.08</v>
      </c>
      <c r="D135" s="11" t="str">
        <f aca="false">INDEX(評価項目対応!$D$6:$D$236,$U135)</f>
        <v>デバイス管理</v>
      </c>
      <c r="E135" s="11" t="str">
        <f aca="false">INDEX(評価項目対応!$E$6:$E$236,$U135)</f>
        <v>すべてのクラウドサービスのデバイスが適切に構成され、セキュリティ機
能が有効になっていることを確認する。</v>
      </c>
      <c r="F135" s="13" t="str">
        <f aca="false">IF($D$4="","",$D$4)</f>
        <v/>
      </c>
      <c r="G135" s="13" t="str">
        <f aca="false">IFERROR(IF(INDEX(評価項目対応!$I$6:$I$236,$U135)="対象","対象",IF(INDEX(評価項目対応!$I$6:$I$236,$U135)="対象外（承認済）","対象外",IF(INDEX(評価項目対応!$I$6:$I$236,$U135)="未確定","n/a",""))),"")</f>
        <v>n/a</v>
      </c>
      <c r="H135" s="25" t="str">
        <f aca="false">IF(ISBLANK(J135),"",IF(J135=5,"Yes",IF(J135=4,"Yes","No")))</f>
        <v/>
      </c>
      <c r="I135" s="18"/>
      <c r="J135" s="26"/>
      <c r="K135" s="18"/>
      <c r="L135" s="18"/>
      <c r="M135" s="11" t="str">
        <f aca="false">IF(INDEX(評価項目対応!$J$6:$J$236,$U135)="","",INDEX(評価項目対応!$J$6:$J$236,$U135))</f>
        <v/>
      </c>
      <c r="N135" s="11" t="str">
        <f aca="false">IF(INDEX(評価項目対応!$N$6:$N$236,$U135)="","",INDEX(評価項目対応!$N$6:$N$236,$U135))</f>
        <v/>
      </c>
      <c r="O135" s="11" t="str">
        <f aca="false">IF(INDEX(評価項目対応!$O$6:$O$236,$U135)="","",INDEX(評価項目対応!$O$6:$O$236,$U135))</f>
        <v/>
      </c>
      <c r="P135" s="27" t="n">
        <f aca="false">COUNTIF(F135:G135,"")+COUNTIF(I135:O135,"")-IF(AND(G135="対象外",K135=""),1,0)</f>
        <v>8</v>
      </c>
      <c r="Q135" s="11" t="str">
        <f aca="false">IF(F135="","会社名コード未設定（D4）",IF(OR(G135="",G135="n/a"),"適用性を確定（評価項目対応I列）",IF(AND(G135="対象外",OR(I135&lt;&gt;"対象外",J135&lt;&gt;"n/a")),"対象外ならR=対象外・S=n/a",IF(AND(G135="対象",OR(I135="対象外",J135="n/a")),"対象なのにR／Sが対象外・n/a",IF(AND(G135="対象",OR(I135="",J135="")),"R・Sを入力",IF(AND(ISNUMBER(J135),ISNUMBER(V135),ABS(N(J135)-N(V135))&gt;=1),"RとSの乖離（案分ならUに明記）",IF(AND(G135="対象",L135=""),"Uに制約・代替策・未検証を記載",IF(AND(G135="対象外",L135=""),"対象外の理由・承認者をUに記載",IF(OR(M135="",N135="",O135=""),"V～Xを入力",IF(P135&gt;0,"未記入あり（P列）","OK"))))))))))</f>
        <v>会社名コード未設定（D4）</v>
      </c>
      <c r="R135" s="11" t="str">
        <f aca="false">IF(INDEX(評価項目対応!$M$6:$M$236,$U135)="","",INDEX(評価項目対応!$M$6:$M$236,$U135))</f>
        <v/>
      </c>
      <c r="S135" s="11" t="str">
        <f aca="false">INDEX(評価項目対応!$H$6:$H$236,$U135)</f>
        <v>端末・クラウド・モバイル・私物機器を分類し、管理基線と実効ポリシーを確認する。</v>
      </c>
      <c r="T135" s="11" t="str">
        <f aca="false">TRIM(IF(INDEX(評価項目対応!$K$6:$K$236,$U135)="","","試験ID: "&amp;INDEX(評価項目対応!$K$6:$K$236,$U135)&amp;"　")&amp;IF(INDEX(評価項目対応!$L$6:$L$236,$U135)="","","判断理由: "&amp;INDEX(評価項目対応!$L$6:$L$236,$U135)))</f>
        <v/>
      </c>
      <c r="U135" s="28" t="n">
        <f aca="false">MATCH($A135,評価項目対応!$A$6:$A$236,0)</f>
        <v>129</v>
      </c>
      <c r="V135" s="28" t="str">
        <f aca="false">IFERROR(VLOOKUP(I135,$X$6:$Y$11,2,FALSE()),"")</f>
        <v/>
      </c>
    </row>
    <row r="136" customFormat="false" ht="49.5" hidden="false" customHeight="true" outlineLevel="0" collapsed="false">
      <c r="A136" s="13" t="n">
        <v>132</v>
      </c>
      <c r="B136" s="13" t="n">
        <f aca="false">INDEX(評価項目対応!$B$6:$B$236,$U136)</f>
        <v>34</v>
      </c>
      <c r="C136" s="13" t="str">
        <f aca="false">INDEX(評価項目対応!$F$6:$F$236,$U136)</f>
        <v>1.08</v>
      </c>
      <c r="D136" s="11" t="str">
        <f aca="false">INDEX(評価項目対応!$D$6:$D$236,$U136)</f>
        <v>デバイス管理</v>
      </c>
      <c r="E136" s="11" t="str">
        <f aca="false">INDEX(評価項目対応!$E$6:$E$236,$U136)</f>
        <v>すべてのモバイルのデバイスが適切に構成され、セキュリティ機能が有効
になっていることを確認する。</v>
      </c>
      <c r="F136" s="13" t="str">
        <f aca="false">IF($D$4="","",$D$4)</f>
        <v/>
      </c>
      <c r="G136" s="13" t="str">
        <f aca="false">IFERROR(IF(INDEX(評価項目対応!$I$6:$I$236,$U136)="対象","対象",IF(INDEX(評価項目対応!$I$6:$I$236,$U136)="対象外（承認済）","対象外",IF(INDEX(評価項目対応!$I$6:$I$236,$U136)="未確定","n/a",""))),"")</f>
        <v>n/a</v>
      </c>
      <c r="H136" s="25" t="str">
        <f aca="false">IF(ISBLANK(J136),"",IF(J136=5,"Yes",IF(J136=4,"Yes","No")))</f>
        <v/>
      </c>
      <c r="I136" s="18"/>
      <c r="J136" s="26"/>
      <c r="K136" s="18"/>
      <c r="L136" s="18"/>
      <c r="M136" s="11" t="str">
        <f aca="false">IF(INDEX(評価項目対応!$J$6:$J$236,$U136)="","",INDEX(評価項目対応!$J$6:$J$236,$U136))</f>
        <v/>
      </c>
      <c r="N136" s="11" t="str">
        <f aca="false">IF(INDEX(評価項目対応!$N$6:$N$236,$U136)="","",INDEX(評価項目対応!$N$6:$N$236,$U136))</f>
        <v/>
      </c>
      <c r="O136" s="11" t="str">
        <f aca="false">IF(INDEX(評価項目対応!$O$6:$O$236,$U136)="","",INDEX(評価項目対応!$O$6:$O$236,$U136))</f>
        <v/>
      </c>
      <c r="P136" s="27" t="n">
        <f aca="false">COUNTIF(F136:G136,"")+COUNTIF(I136:O136,"")-IF(AND(G136="対象外",K136=""),1,0)</f>
        <v>8</v>
      </c>
      <c r="Q136" s="11" t="str">
        <f aca="false">IF(F136="","会社名コード未設定（D4）",IF(OR(G136="",G136="n/a"),"適用性を確定（評価項目対応I列）",IF(AND(G136="対象外",OR(I136&lt;&gt;"対象外",J136&lt;&gt;"n/a")),"対象外ならR=対象外・S=n/a",IF(AND(G136="対象",OR(I136="対象外",J136="n/a")),"対象なのにR／Sが対象外・n/a",IF(AND(G136="対象",OR(I136="",J136="")),"R・Sを入力",IF(AND(ISNUMBER(J136),ISNUMBER(V136),ABS(N(J136)-N(V136))&gt;=1),"RとSの乖離（案分ならUに明記）",IF(AND(G136="対象",L136=""),"Uに制約・代替策・未検証を記載",IF(AND(G136="対象外",L136=""),"対象外の理由・承認者をUに記載",IF(OR(M136="",N136="",O136=""),"V～Xを入力",IF(P136&gt;0,"未記入あり（P列）","OK"))))))))))</f>
        <v>会社名コード未設定（D4）</v>
      </c>
      <c r="R136" s="11" t="str">
        <f aca="false">IF(INDEX(評価項目対応!$M$6:$M$236,$U136)="","",INDEX(評価項目対応!$M$6:$M$236,$U136))</f>
        <v/>
      </c>
      <c r="S136" s="11" t="str">
        <f aca="false">INDEX(評価項目対応!$H$6:$H$236,$U136)</f>
        <v>端末・クラウド・モバイル・私物機器を分類し、管理基線と実効ポリシーを確認する。</v>
      </c>
      <c r="T136" s="11" t="str">
        <f aca="false">TRIM(IF(INDEX(評価項目対応!$K$6:$K$236,$U136)="","","試験ID: "&amp;INDEX(評価項目対応!$K$6:$K$236,$U136)&amp;"　")&amp;IF(INDEX(評価項目対応!$L$6:$L$236,$U136)="","","判断理由: "&amp;INDEX(評価項目対応!$L$6:$L$236,$U136)))</f>
        <v/>
      </c>
      <c r="U136" s="28" t="n">
        <f aca="false">MATCH($A136,評価項目対応!$A$6:$A$236,0)</f>
        <v>130</v>
      </c>
      <c r="V136" s="28" t="str">
        <f aca="false">IFERROR(VLOOKUP(I136,$X$6:$Y$11,2,FALSE()),"")</f>
        <v/>
      </c>
    </row>
    <row r="137" customFormat="false" ht="49.5" hidden="false" customHeight="true" outlineLevel="0" collapsed="false">
      <c r="A137" s="13" t="n">
        <v>133</v>
      </c>
      <c r="B137" s="13" t="n">
        <f aca="false">INDEX(評価項目対応!$B$6:$B$236,$U137)</f>
        <v>35</v>
      </c>
      <c r="C137" s="13" t="str">
        <f aca="false">INDEX(評価項目対応!$F$6:$F$236,$U137)</f>
        <v>1.08</v>
      </c>
      <c r="D137" s="11" t="str">
        <f aca="false">INDEX(評価項目対応!$D$6:$D$236,$U137)</f>
        <v>デバイス管理</v>
      </c>
      <c r="E137" s="11" t="str">
        <f aca="false">INDEX(評価項目対応!$E$6:$E$236,$U137)</f>
        <v>すべての個人のデバイスが適切に構成され、セキュリティ機能が有効にな
っていることを確認する。</v>
      </c>
      <c r="F137" s="13" t="str">
        <f aca="false">IF($D$4="","",$D$4)</f>
        <v/>
      </c>
      <c r="G137" s="13" t="str">
        <f aca="false">IFERROR(IF(INDEX(評価項目対応!$I$6:$I$236,$U137)="対象","対象",IF(INDEX(評価項目対応!$I$6:$I$236,$U137)="対象外（承認済）","対象外",IF(INDEX(評価項目対応!$I$6:$I$236,$U137)="未確定","n/a",""))),"")</f>
        <v>n/a</v>
      </c>
      <c r="H137" s="25" t="str">
        <f aca="false">IF(ISBLANK(J137),"",IF(J137=5,"Yes",IF(J137=4,"Yes","No")))</f>
        <v/>
      </c>
      <c r="I137" s="18"/>
      <c r="J137" s="26"/>
      <c r="K137" s="18"/>
      <c r="L137" s="18"/>
      <c r="M137" s="11" t="str">
        <f aca="false">IF(INDEX(評価項目対応!$J$6:$J$236,$U137)="","",INDEX(評価項目対応!$J$6:$J$236,$U137))</f>
        <v/>
      </c>
      <c r="N137" s="11" t="str">
        <f aca="false">IF(INDEX(評価項目対応!$N$6:$N$236,$U137)="","",INDEX(評価項目対応!$N$6:$N$236,$U137))</f>
        <v/>
      </c>
      <c r="O137" s="11" t="str">
        <f aca="false">IF(INDEX(評価項目対応!$O$6:$O$236,$U137)="","",INDEX(評価項目対応!$O$6:$O$236,$U137))</f>
        <v/>
      </c>
      <c r="P137" s="27" t="n">
        <f aca="false">COUNTIF(F137:G137,"")+COUNTIF(I137:O137,"")-IF(AND(G137="対象外",K137=""),1,0)</f>
        <v>8</v>
      </c>
      <c r="Q137" s="11" t="str">
        <f aca="false">IF(F137="","会社名コード未設定（D4）",IF(OR(G137="",G137="n/a"),"適用性を確定（評価項目対応I列）",IF(AND(G137="対象外",OR(I137&lt;&gt;"対象外",J137&lt;&gt;"n/a")),"対象外ならR=対象外・S=n/a",IF(AND(G137="対象",OR(I137="対象外",J137="n/a")),"対象なのにR／Sが対象外・n/a",IF(AND(G137="対象",OR(I137="",J137="")),"R・Sを入力",IF(AND(ISNUMBER(J137),ISNUMBER(V137),ABS(N(J137)-N(V137))&gt;=1),"RとSの乖離（案分ならUに明記）",IF(AND(G137="対象",L137=""),"Uに制約・代替策・未検証を記載",IF(AND(G137="対象外",L137=""),"対象外の理由・承認者をUに記載",IF(OR(M137="",N137="",O137=""),"V～Xを入力",IF(P137&gt;0,"未記入あり（P列）","OK"))))))))))</f>
        <v>会社名コード未設定（D4）</v>
      </c>
      <c r="R137" s="11" t="str">
        <f aca="false">IF(INDEX(評価項目対応!$M$6:$M$236,$U137)="","",INDEX(評価項目対応!$M$6:$M$236,$U137))</f>
        <v/>
      </c>
      <c r="S137" s="11" t="str">
        <f aca="false">INDEX(評価項目対応!$H$6:$H$236,$U137)</f>
        <v>端末・クラウド・モバイル・私物機器を分類し、管理基線と実効ポリシーを確認する。</v>
      </c>
      <c r="T137" s="11" t="str">
        <f aca="false">TRIM(IF(INDEX(評価項目対応!$K$6:$K$236,$U137)="","","試験ID: "&amp;INDEX(評価項目対応!$K$6:$K$236,$U137)&amp;"　")&amp;IF(INDEX(評価項目対応!$L$6:$L$236,$U137)="","","判断理由: "&amp;INDEX(評価項目対応!$L$6:$L$236,$U137)))</f>
        <v/>
      </c>
      <c r="U137" s="28" t="n">
        <f aca="false">MATCH($A137,評価項目対応!$A$6:$A$236,0)</f>
        <v>131</v>
      </c>
      <c r="V137" s="28" t="str">
        <f aca="false">IFERROR(VLOOKUP(I137,$X$6:$Y$11,2,FALSE()),"")</f>
        <v/>
      </c>
    </row>
    <row r="138" customFormat="false" ht="105.75" hidden="false" customHeight="true" outlineLevel="0" collapsed="false">
      <c r="A138" s="13" t="n">
        <v>134</v>
      </c>
      <c r="B138" s="13" t="n">
        <f aca="false">INDEX(評価項目対応!$B$6:$B$236,$U138)</f>
        <v>176</v>
      </c>
      <c r="C138" s="13" t="str">
        <f aca="false">INDEX(評価項目対応!$F$6:$F$236,$U138)</f>
        <v>4.02</v>
      </c>
      <c r="D138" s="11" t="str">
        <f aca="false">INDEX(評価項目対応!$D$6:$D$236,$U138)</f>
        <v>ブラウザ設定</v>
      </c>
      <c r="E138" s="11" t="str">
        <f aca="false">INDEX(評価項目対応!$E$6:$E$236,$U138)</f>
        <v>広告ネットワークやトラッカーがユーザー情報を追跡するために使用でき
るベクトルを制限するために、追跡防止を有効にする。</v>
      </c>
      <c r="F138" s="13" t="str">
        <f aca="false">IF($D$4="","",$D$4)</f>
        <v/>
      </c>
      <c r="G138" s="13" t="str">
        <f aca="false">IFERROR(IF(INDEX(評価項目対応!$I$6:$I$236,$U138)="対象","対象",IF(INDEX(評価項目対応!$I$6:$I$236,$U138)="対象外（承認済）","対象外",IF(INDEX(評価項目対応!$I$6:$I$236,$U138)="未確定","n/a",""))),"")</f>
        <v>n/a</v>
      </c>
      <c r="H138" s="25" t="str">
        <f aca="false">IF(ISBLANK(J138),"",IF(J138=5,"Yes",IF(J138=4,"Yes","No")))</f>
        <v/>
      </c>
      <c r="I138" s="18"/>
      <c r="J138" s="26"/>
      <c r="K138" s="18"/>
      <c r="L138" s="18"/>
      <c r="M138" s="11" t="str">
        <f aca="false">IF(INDEX(評価項目対応!$J$6:$J$236,$U138)="","",INDEX(評価項目対応!$J$6:$J$236,$U138))</f>
        <v/>
      </c>
      <c r="N138" s="11" t="str">
        <f aca="false">IF(INDEX(評価項目対応!$N$6:$N$236,$U138)="","",INDEX(評価項目対応!$N$6:$N$236,$U138))</f>
        <v/>
      </c>
      <c r="O138" s="11" t="str">
        <f aca="false">IF(INDEX(評価項目対応!$O$6:$O$236,$U138)="","",INDEX(評価項目対応!$O$6:$O$236,$U138))</f>
        <v/>
      </c>
      <c r="P138" s="27" t="n">
        <f aca="false">COUNTIF(F138:G138,"")+COUNTIF(I138:O138,"")-IF(AND(G138="対象外",K138=""),1,0)</f>
        <v>8</v>
      </c>
      <c r="Q138" s="11" t="str">
        <f aca="false">IF(F138="","会社名コード未設定（D4）",IF(OR(G138="",G138="n/a"),"適用性を確定（評価項目対応I列）",IF(AND(G138="対象外",OR(I138&lt;&gt;"対象外",J138&lt;&gt;"n/a")),"対象外ならR=対象外・S=n/a",IF(AND(G138="対象",OR(I138="対象外",J138="n/a")),"対象なのにR／Sが対象外・n/a",IF(AND(G138="対象",OR(I138="",J138="")),"R・Sを入力",IF(AND(ISNUMBER(J138),ISNUMBER(V138),ABS(N(J138)-N(V138))&gt;=1),"RとSの乖離（案分ならUに明記）",IF(AND(G138="対象",L138=""),"Uに制約・代替策・未検証を記載",IF(AND(G138="対象外",L138=""),"対象外の理由・承認者をUに記載",IF(OR(M138="",N138="",O138=""),"V～Xを入力",IF(P138&gt;0,"未記入あり（P列）","OK"))))))))))</f>
        <v>会社名コード未設定（D4）</v>
      </c>
      <c r="R138" s="11" t="str">
        <f aca="false">IF(INDEX(評価項目対応!$M$6:$M$236,$U138)="","",INDEX(評価項目対応!$M$6:$M$236,$U138))</f>
        <v/>
      </c>
      <c r="S138" s="11" t="str">
        <f aca="false">INDEX(評価項目対応!$H$6:$H$236,$U138)</f>
        <v>原票の「Tracking prevention」「Website typo protection」はMicrosoft Edgeの機能名（typo protectionの企業ポリシーはTyposquattingCheckerEnabled）。Chrome／ChromeOSでの同等機能の有無を確認し、無い場合は「直接の同等機能なし＋代替策（Safe Browsingの強化モード、URL拒否リスト等）」として記録する。満たしたとは扱わない。</v>
      </c>
      <c r="T138" s="11" t="str">
        <f aca="false">TRIM(IF(INDEX(評価項目対応!$K$6:$K$236,$U138)="","","試験ID: "&amp;INDEX(評価項目対応!$K$6:$K$236,$U138)&amp;"　")&amp;IF(INDEX(評価項目対応!$L$6:$L$236,$U138)="","","判断理由: "&amp;INDEX(評価項目対応!$L$6:$L$236,$U138)))</f>
        <v/>
      </c>
      <c r="U138" s="28" t="n">
        <f aca="false">MATCH($A138,評価項目対応!$A$6:$A$236,0)</f>
        <v>132</v>
      </c>
      <c r="V138" s="28" t="str">
        <f aca="false">IFERROR(VLOOKUP(I138,$X$6:$Y$11,2,FALSE()),"")</f>
        <v/>
      </c>
    </row>
    <row r="139" customFormat="false" ht="78" hidden="false" customHeight="true" outlineLevel="0" collapsed="false">
      <c r="A139" s="13" t="n">
        <v>135</v>
      </c>
      <c r="B139" s="13" t="n">
        <f aca="false">INDEX(評価項目対応!$B$6:$B$236,$U139)</f>
        <v>10</v>
      </c>
      <c r="C139" s="13" t="str">
        <f aca="false">INDEX(評価項目対応!$F$6:$F$236,$U139)</f>
        <v>5.01</v>
      </c>
      <c r="D139" s="11" t="str">
        <f aca="false">INDEX(評価項目対応!$D$6:$D$236,$U139)</f>
        <v>クラウドの運用管理</v>
      </c>
      <c r="E139" s="11" t="str">
        <f aca="false">INDEX(評価項目対応!$E$6:$E$236,$U139)</f>
        <v>immutableストレージは、特定の規制に対するコンプライアンス基準を満
たさず、設定ミスが大幅なコストを課す可能性があるため、注意して使用
する。</v>
      </c>
      <c r="F139" s="13" t="str">
        <f aca="false">IF($D$4="","",$D$4)</f>
        <v/>
      </c>
      <c r="G139" s="13" t="str">
        <f aca="false">IFERROR(IF(INDEX(評価項目対応!$I$6:$I$236,$U139)="対象","対象",IF(INDEX(評価項目対応!$I$6:$I$236,$U139)="対象外（承認済）","対象外",IF(INDEX(評価項目対応!$I$6:$I$236,$U139)="未確定","n/a",""))),"")</f>
        <v>n/a</v>
      </c>
      <c r="H139" s="25" t="str">
        <f aca="false">IF(ISBLANK(J139),"",IF(J139=5,"Yes",IF(J139=4,"Yes","No")))</f>
        <v/>
      </c>
      <c r="I139" s="18"/>
      <c r="J139" s="26"/>
      <c r="K139" s="18"/>
      <c r="L139" s="18"/>
      <c r="M139" s="11" t="str">
        <f aca="false">IF(INDEX(評価項目対応!$J$6:$J$236,$U139)="","",INDEX(評価項目対応!$J$6:$J$236,$U139))</f>
        <v/>
      </c>
      <c r="N139" s="11" t="str">
        <f aca="false">IF(INDEX(評価項目対応!$N$6:$N$236,$U139)="","",INDEX(評価項目対応!$N$6:$N$236,$U139))</f>
        <v/>
      </c>
      <c r="O139" s="11" t="str">
        <f aca="false">IF(INDEX(評価項目対応!$O$6:$O$236,$U139)="","",INDEX(評価項目対応!$O$6:$O$236,$U139))</f>
        <v/>
      </c>
      <c r="P139" s="27" t="n">
        <f aca="false">COUNTIF(F139:G139,"")+COUNTIF(I139:O139,"")-IF(AND(G139="対象外",K139=""),1,0)</f>
        <v>8</v>
      </c>
      <c r="Q139" s="11" t="str">
        <f aca="false">IF(F139="","会社名コード未設定（D4）",IF(OR(G139="",G139="n/a"),"適用性を確定（評価項目対応I列）",IF(AND(G139="対象外",OR(I139&lt;&gt;"対象外",J139&lt;&gt;"n/a")),"対象外ならR=対象外・S=n/a",IF(AND(G139="対象",OR(I139="対象外",J139="n/a")),"対象なのにR／Sが対象外・n/a",IF(AND(G139="対象",OR(I139="",J139="")),"R・Sを入力",IF(AND(ISNUMBER(J139),ISNUMBER(V139),ABS(N(J139)-N(V139))&gt;=1),"RとSの乖離（案分ならUに明記）",IF(AND(G139="対象",L139=""),"Uに制約・代替策・未検証を記載",IF(AND(G139="対象外",L139=""),"対象外の理由・承認者をUに記載",IF(OR(M139="",N139="",O139=""),"V～Xを入力",IF(P139&gt;0,"未記入あり（P列）","OK"))))))))))</f>
        <v>会社名コード未設定（D4）</v>
      </c>
      <c r="R139" s="11" t="str">
        <f aca="false">IF(INDEX(評価項目対応!$M$6:$M$236,$U139)="","",INDEX(評価項目対応!$M$6:$M$236,$U139))</f>
        <v/>
      </c>
      <c r="S139" s="11" t="str">
        <f aca="false">INDEX(評価項目対応!$H$6:$H$236,$U139)</f>
        <v>既存のデータ保護・復元記録を責任者から受領して評価する。端末の初期化後の再アクセスはデータ復元試験の代わりとしない。</v>
      </c>
      <c r="T139" s="11" t="str">
        <f aca="false">TRIM(IF(INDEX(評価項目対応!$K$6:$K$236,$U139)="","","試験ID: "&amp;INDEX(評価項目対応!$K$6:$K$236,$U139)&amp;"　")&amp;IF(INDEX(評価項目対応!$L$6:$L$236,$U139)="","","判断理由: "&amp;INDEX(評価項目対応!$L$6:$L$236,$U139)))</f>
        <v/>
      </c>
      <c r="U139" s="28" t="n">
        <f aca="false">MATCH($A139,評価項目対応!$A$6:$A$236,0)</f>
        <v>133</v>
      </c>
      <c r="V139" s="28" t="str">
        <f aca="false">IFERROR(VLOOKUP(I139,$X$6:$Y$11,2,FALSE()),"")</f>
        <v/>
      </c>
    </row>
    <row r="140" customFormat="false" ht="120" hidden="false" customHeight="true" outlineLevel="0" collapsed="false">
      <c r="A140" s="13" t="n">
        <v>136</v>
      </c>
      <c r="B140" s="13" t="n">
        <f aca="false">INDEX(評価項目対応!$B$6:$B$236,$U140)</f>
        <v>138</v>
      </c>
      <c r="C140" s="13" t="str">
        <f aca="false">INDEX(評価項目対応!$F$6:$F$236,$U140)</f>
        <v>5.01</v>
      </c>
      <c r="D140" s="11" t="str">
        <f aca="false">INDEX(評価項目対応!$D$6:$D$236,$U140)</f>
        <v>ストレージ保護</v>
      </c>
      <c r="E140" s="11" t="str">
        <f aca="false">INDEX(評価項目対応!$E$6:$E$236,$U140)</f>
        <v>ランサムウェア攻撃で頻繁に標的にされるストレージリソース（オブジェ
クトストレージ、データベースストレージ、ファイルストレージ、ブロッ
クストレージなど）で、データが削除または上書きされるのを防ぐために
、削除保護またはオブジェクトロックを有効にする。</v>
      </c>
      <c r="F140" s="13" t="str">
        <f aca="false">IF($D$4="","",$D$4)</f>
        <v/>
      </c>
      <c r="G140" s="13" t="str">
        <f aca="false">IFERROR(IF(INDEX(評価項目対応!$I$6:$I$236,$U140)="対象","対象",IF(INDEX(評価項目対応!$I$6:$I$236,$U140)="対象外（承認済）","対象外",IF(INDEX(評価項目対応!$I$6:$I$236,$U140)="未確定","n/a",""))),"")</f>
        <v>n/a</v>
      </c>
      <c r="H140" s="25" t="str">
        <f aca="false">IF(ISBLANK(J140),"",IF(J140=5,"Yes",IF(J140=4,"Yes","No")))</f>
        <v/>
      </c>
      <c r="I140" s="18"/>
      <c r="J140" s="26"/>
      <c r="K140" s="18"/>
      <c r="L140" s="18"/>
      <c r="M140" s="11" t="str">
        <f aca="false">IF(INDEX(評価項目対応!$J$6:$J$236,$U140)="","",INDEX(評価項目対応!$J$6:$J$236,$U140))</f>
        <v/>
      </c>
      <c r="N140" s="11" t="str">
        <f aca="false">IF(INDEX(評価項目対応!$N$6:$N$236,$U140)="","",INDEX(評価項目対応!$N$6:$N$236,$U140))</f>
        <v/>
      </c>
      <c r="O140" s="11" t="str">
        <f aca="false">IF(INDEX(評価項目対応!$O$6:$O$236,$U140)="","",INDEX(評価項目対応!$O$6:$O$236,$U140))</f>
        <v/>
      </c>
      <c r="P140" s="27" t="n">
        <f aca="false">COUNTIF(F140:G140,"")+COUNTIF(I140:O140,"")-IF(AND(G140="対象外",K140=""),1,0)</f>
        <v>8</v>
      </c>
      <c r="Q140" s="11" t="str">
        <f aca="false">IF(F140="","会社名コード未設定（D4）",IF(OR(G140="",G140="n/a"),"適用性を確定（評価項目対応I列）",IF(AND(G140="対象外",OR(I140&lt;&gt;"対象外",J140&lt;&gt;"n/a")),"対象外ならR=対象外・S=n/a",IF(AND(G140="対象",OR(I140="対象外",J140="n/a")),"対象なのにR／Sが対象外・n/a",IF(AND(G140="対象",OR(I140="",J140="")),"R・Sを入力",IF(AND(ISNUMBER(J140),ISNUMBER(V140),ABS(N(J140)-N(V140))&gt;=1),"RとSの乖離（案分ならUに明記）",IF(AND(G140="対象",L140=""),"Uに制約・代替策・未検証を記載",IF(AND(G140="対象外",L140=""),"対象外の理由・承認者をUに記載",IF(OR(M140="",N140="",O140=""),"V～Xを入力",IF(P140&gt;0,"未記入あり（P列）","OK"))))))))))</f>
        <v>会社名コード未設定（D4）</v>
      </c>
      <c r="R140" s="11" t="str">
        <f aca="false">IF(INDEX(評価項目対応!$M$6:$M$236,$U140)="","",INDEX(評価項目対応!$M$6:$M$236,$U140))</f>
        <v>5.02, 1.04</v>
      </c>
      <c r="S140" s="11" t="str">
        <f aca="false">INDEX(評価項目対応!$H$6:$H$236,$U140)</f>
        <v>既存のデータ保護・復元記録を責任者から受領して評価する。端末の初期化後の再アクセスはデータ復元試験の代わりとしない。 Driveの復元（5.02）とランサムウェア検知の適用範囲（1.04）も根拠にする。</v>
      </c>
      <c r="T140" s="11" t="str">
        <f aca="false">TRIM(IF(INDEX(評価項目対応!$K$6:$K$236,$U140)="","","試験ID: "&amp;INDEX(評価項目対応!$K$6:$K$236,$U140)&amp;"　")&amp;IF(INDEX(評価項目対応!$L$6:$L$236,$U140)="","","判断理由: "&amp;INDEX(評価項目対応!$L$6:$L$236,$U140)))</f>
        <v/>
      </c>
      <c r="U140" s="28" t="n">
        <f aca="false">MATCH($A140,評価項目対応!$A$6:$A$236,0)</f>
        <v>134</v>
      </c>
      <c r="V140" s="28" t="str">
        <f aca="false">IFERROR(VLOOKUP(I140,$X$6:$Y$11,2,FALSE()),"")</f>
        <v/>
      </c>
    </row>
    <row r="141" customFormat="false" ht="78" hidden="false" customHeight="true" outlineLevel="0" collapsed="false">
      <c r="A141" s="13" t="n">
        <v>137</v>
      </c>
      <c r="B141" s="13" t="n">
        <f aca="false">INDEX(評価項目対応!$B$6:$B$236,$U141)</f>
        <v>139</v>
      </c>
      <c r="C141" s="13" t="str">
        <f aca="false">INDEX(評価項目対応!$F$6:$F$236,$U141)</f>
        <v>5.01</v>
      </c>
      <c r="D141" s="11" t="str">
        <f aca="false">INDEX(評価項目対応!$D$6:$D$236,$U141)</f>
        <v>バージョン管理</v>
      </c>
      <c r="E141" s="11" t="str">
        <f aca="false">INDEX(評価項目対応!$E$6:$E$236,$U141)</f>
        <v>意図しない、または悪意のあるアクションからより簡単に復旧できるよう
に、ストレージ内の複数のオブジェクトバリアントを保持するために、バ
ージョン管理を有効にすることを検討する。</v>
      </c>
      <c r="F141" s="13" t="str">
        <f aca="false">IF($D$4="","",$D$4)</f>
        <v/>
      </c>
      <c r="G141" s="13" t="str">
        <f aca="false">IFERROR(IF(INDEX(評価項目対応!$I$6:$I$236,$U141)="対象","対象",IF(INDEX(評価項目対応!$I$6:$I$236,$U141)="対象外（承認済）","対象外",IF(INDEX(評価項目対応!$I$6:$I$236,$U141)="未確定","n/a",""))),"")</f>
        <v>n/a</v>
      </c>
      <c r="H141" s="25" t="str">
        <f aca="false">IF(ISBLANK(J141),"",IF(J141=5,"Yes",IF(J141=4,"Yes","No")))</f>
        <v/>
      </c>
      <c r="I141" s="18"/>
      <c r="J141" s="26"/>
      <c r="K141" s="18"/>
      <c r="L141" s="18"/>
      <c r="M141" s="11" t="str">
        <f aca="false">IF(INDEX(評価項目対応!$J$6:$J$236,$U141)="","",INDEX(評価項目対応!$J$6:$J$236,$U141))</f>
        <v/>
      </c>
      <c r="N141" s="11" t="str">
        <f aca="false">IF(INDEX(評価項目対応!$N$6:$N$236,$U141)="","",INDEX(評価項目対応!$N$6:$N$236,$U141))</f>
        <v/>
      </c>
      <c r="O141" s="11" t="str">
        <f aca="false">IF(INDEX(評価項目対応!$O$6:$O$236,$U141)="","",INDEX(評価項目対応!$O$6:$O$236,$U141))</f>
        <v/>
      </c>
      <c r="P141" s="27" t="n">
        <f aca="false">COUNTIF(F141:G141,"")+COUNTIF(I141:O141,"")-IF(AND(G141="対象外",K141=""),1,0)</f>
        <v>8</v>
      </c>
      <c r="Q141" s="11" t="str">
        <f aca="false">IF(F141="","会社名コード未設定（D4）",IF(OR(G141="",G141="n/a"),"適用性を確定（評価項目対応I列）",IF(AND(G141="対象外",OR(I141&lt;&gt;"対象外",J141&lt;&gt;"n/a")),"対象外ならR=対象外・S=n/a",IF(AND(G141="対象",OR(I141="対象外",J141="n/a")),"対象なのにR／Sが対象外・n/a",IF(AND(G141="対象",OR(I141="",J141="")),"R・Sを入力",IF(AND(ISNUMBER(J141),ISNUMBER(V141),ABS(N(J141)-N(V141))&gt;=1),"RとSの乖離（案分ならUに明記）",IF(AND(G141="対象",L141=""),"Uに制約・代替策・未検証を記載",IF(AND(G141="対象外",L141=""),"対象外の理由・承認者をUに記載",IF(OR(M141="",N141="",O141=""),"V～Xを入力",IF(P141&gt;0,"未記入あり（P列）","OK"))))))))))</f>
        <v>会社名コード未設定（D4）</v>
      </c>
      <c r="R141" s="11" t="str">
        <f aca="false">IF(INDEX(評価項目対応!$M$6:$M$236,$U141)="","",INDEX(評価項目対応!$M$6:$M$236,$U141))</f>
        <v>5.02, 1.04</v>
      </c>
      <c r="S141" s="11" t="str">
        <f aca="false">INDEX(評価項目対応!$H$6:$H$236,$U141)</f>
        <v>既存のデータ保護・復元記録を責任者から受領して評価する。端末の初期化後の再アクセスはデータ復元試験の代わりとしない。 Driveの復元（5.02）とランサムウェア検知の適用範囲（1.04）も根拠にする。</v>
      </c>
      <c r="T141" s="11" t="str">
        <f aca="false">TRIM(IF(INDEX(評価項目対応!$K$6:$K$236,$U141)="","","試験ID: "&amp;INDEX(評価項目対応!$K$6:$K$236,$U141)&amp;"　")&amp;IF(INDEX(評価項目対応!$L$6:$L$236,$U141)="","","判断理由: "&amp;INDEX(評価項目対応!$L$6:$L$236,$U141)))</f>
        <v/>
      </c>
      <c r="U141" s="28" t="n">
        <f aca="false">MATCH($A141,評価項目対応!$A$6:$A$236,0)</f>
        <v>135</v>
      </c>
      <c r="V141" s="28" t="str">
        <f aca="false">IFERROR(VLOOKUP(I141,$X$6:$Y$11,2,FALSE()),"")</f>
        <v/>
      </c>
    </row>
    <row r="142" customFormat="false" ht="63.75" hidden="false" customHeight="true" outlineLevel="0" collapsed="false">
      <c r="A142" s="13" t="n">
        <v>138</v>
      </c>
      <c r="B142" s="13" t="n">
        <f aca="false">INDEX(評価項目対応!$B$6:$B$236,$U142)</f>
        <v>1</v>
      </c>
      <c r="C142" s="13" t="str">
        <f aca="false">INDEX(評価項目対応!$F$6:$F$236,$U142)</f>
        <v>5.01</v>
      </c>
      <c r="D142" s="11" t="str">
        <f aca="false">INDEX(評価項目対応!$D$6:$D$236,$U142)</f>
        <v>バックアップ</v>
      </c>
      <c r="E142" s="11" t="str">
        <f aca="false">INDEX(評価項目対応!$E$6:$E$236,$U142)</f>
        <v>重要なデータのオフラインでの暗号化されたバックアップを維持する。</v>
      </c>
      <c r="F142" s="13" t="str">
        <f aca="false">IF($D$4="","",$D$4)</f>
        <v/>
      </c>
      <c r="G142" s="13" t="str">
        <f aca="false">IFERROR(IF(INDEX(評価項目対応!$I$6:$I$236,$U142)="対象","対象",IF(INDEX(評価項目対応!$I$6:$I$236,$U142)="対象外（承認済）","対象外",IF(INDEX(評価項目対応!$I$6:$I$236,$U142)="未確定","n/a",""))),"")</f>
        <v>n/a</v>
      </c>
      <c r="H142" s="25" t="str">
        <f aca="false">IF(ISBLANK(J142),"",IF(J142=5,"Yes",IF(J142=4,"Yes","No")))</f>
        <v/>
      </c>
      <c r="I142" s="18"/>
      <c r="J142" s="26"/>
      <c r="K142" s="18"/>
      <c r="L142" s="18"/>
      <c r="M142" s="11" t="str">
        <f aca="false">IF(INDEX(評価項目対応!$J$6:$J$236,$U142)="","",INDEX(評価項目対応!$J$6:$J$236,$U142))</f>
        <v/>
      </c>
      <c r="N142" s="11" t="str">
        <f aca="false">IF(INDEX(評価項目対応!$N$6:$N$236,$U142)="","",INDEX(評価項目対応!$N$6:$N$236,$U142))</f>
        <v/>
      </c>
      <c r="O142" s="11" t="str">
        <f aca="false">IF(INDEX(評価項目対応!$O$6:$O$236,$U142)="","",INDEX(評価項目対応!$O$6:$O$236,$U142))</f>
        <v/>
      </c>
      <c r="P142" s="27" t="n">
        <f aca="false">COUNTIF(F142:G142,"")+COUNTIF(I142:O142,"")-IF(AND(G142="対象外",K142=""),1,0)</f>
        <v>8</v>
      </c>
      <c r="Q142" s="11" t="str">
        <f aca="false">IF(F142="","会社名コード未設定（D4）",IF(OR(G142="",G142="n/a"),"適用性を確定（評価項目対応I列）",IF(AND(G142="対象外",OR(I142&lt;&gt;"対象外",J142&lt;&gt;"n/a")),"対象外ならR=対象外・S=n/a",IF(AND(G142="対象",OR(I142="対象外",J142="n/a")),"対象なのにR／Sが対象外・n/a",IF(AND(G142="対象",OR(I142="",J142="")),"R・Sを入力",IF(AND(ISNUMBER(J142),ISNUMBER(V142),ABS(N(J142)-N(V142))&gt;=1),"RとSの乖離（案分ならUに明記）",IF(AND(G142="対象",L142=""),"Uに制約・代替策・未検証を記載",IF(AND(G142="対象外",L142=""),"対象外の理由・承認者をUに記載",IF(OR(M142="",N142="",O142=""),"V～Xを入力",IF(P142&gt;0,"未記入あり（P列）","OK"))))))))))</f>
        <v>会社名コード未設定（D4）</v>
      </c>
      <c r="R142" s="11" t="str">
        <f aca="false">IF(INDEX(評価項目対応!$M$6:$M$236,$U142)="","",INDEX(評価項目対応!$M$6:$M$236,$U142))</f>
        <v>5.02, 1.04</v>
      </c>
      <c r="S142" s="11" t="str">
        <f aca="false">INDEX(評価項目対応!$H$6:$H$236,$U142)</f>
        <v>Drive同期・履歴と、オフラインの暗号化バックアップ要求を区別する。未達の場合は代替策と承認を記録する。 Driveの復元（5.02）とランサムウェア検知の適用範囲（1.04）も根拠にする。</v>
      </c>
      <c r="T142" s="11" t="str">
        <f aca="false">TRIM(IF(INDEX(評価項目対応!$K$6:$K$236,$U142)="","","試験ID: "&amp;INDEX(評価項目対応!$K$6:$K$236,$U142)&amp;"　")&amp;IF(INDEX(評価項目対応!$L$6:$L$236,$U142)="","","判断理由: "&amp;INDEX(評価項目対応!$L$6:$L$236,$U142)))</f>
        <v/>
      </c>
      <c r="U142" s="28" t="n">
        <f aca="false">MATCH($A142,評価項目対応!$A$6:$A$236,0)</f>
        <v>136</v>
      </c>
      <c r="V142" s="28" t="str">
        <f aca="false">IFERROR(VLOOKUP(I142,$X$6:$Y$11,2,FALSE()),"")</f>
        <v/>
      </c>
    </row>
    <row r="143" customFormat="false" ht="63.75" hidden="false" customHeight="true" outlineLevel="0" collapsed="false">
      <c r="A143" s="13" t="n">
        <v>139</v>
      </c>
      <c r="B143" s="13" t="n">
        <f aca="false">INDEX(評価項目対応!$B$6:$B$236,$U143)</f>
        <v>8</v>
      </c>
      <c r="C143" s="13" t="str">
        <f aca="false">INDEX(評価項目対応!$F$6:$F$236,$U143)</f>
        <v>5.06</v>
      </c>
      <c r="D143" s="11" t="str">
        <f aca="false">INDEX(評価項目対応!$D$6:$D$236,$U143)</f>
        <v>バックアップ</v>
      </c>
      <c r="E143" s="11" t="str">
        <f aca="false">INDEX(評価項目対応!$E$6:$E$236,$U143)</f>
        <v>プライマリシステムの再構築が望ましくない場合に備えて、システムを再
構築するためのバックアップハードウェアを保持する。</v>
      </c>
      <c r="F143" s="13" t="str">
        <f aca="false">IF($D$4="","",$D$4)</f>
        <v/>
      </c>
      <c r="G143" s="13" t="str">
        <f aca="false">IFERROR(IF(INDEX(評価項目対応!$I$6:$I$236,$U143)="対象","対象",IF(INDEX(評価項目対応!$I$6:$I$236,$U143)="対象外（承認済）","対象外",IF(INDEX(評価項目対応!$I$6:$I$236,$U143)="未確定","n/a",""))),"")</f>
        <v>n/a</v>
      </c>
      <c r="H143" s="25" t="str">
        <f aca="false">IF(ISBLANK(J143),"",IF(J143=5,"Yes",IF(J143=4,"Yes","No")))</f>
        <v/>
      </c>
      <c r="I143" s="18"/>
      <c r="J143" s="26"/>
      <c r="K143" s="18"/>
      <c r="L143" s="18"/>
      <c r="M143" s="11" t="str">
        <f aca="false">IF(INDEX(評価項目対応!$J$6:$J$236,$U143)="","",INDEX(評価項目対応!$J$6:$J$236,$U143))</f>
        <v/>
      </c>
      <c r="N143" s="11" t="str">
        <f aca="false">IF(INDEX(評価項目対応!$N$6:$N$236,$U143)="","",INDEX(評価項目対応!$N$6:$N$236,$U143))</f>
        <v/>
      </c>
      <c r="O143" s="11" t="str">
        <f aca="false">IF(INDEX(評価項目対応!$O$6:$O$236,$U143)="","",INDEX(評価項目対応!$O$6:$O$236,$U143))</f>
        <v/>
      </c>
      <c r="P143" s="27" t="n">
        <f aca="false">COUNTIF(F143:G143,"")+COUNTIF(I143:O143,"")-IF(AND(G143="対象外",K143=""),1,0)</f>
        <v>8</v>
      </c>
      <c r="Q143" s="11" t="str">
        <f aca="false">IF(F143="","会社名コード未設定（D4）",IF(OR(G143="",G143="n/a"),"適用性を確定（評価項目対応I列）",IF(AND(G143="対象外",OR(I143&lt;&gt;"対象外",J143&lt;&gt;"n/a")),"対象外ならR=対象外・S=n/a",IF(AND(G143="対象",OR(I143="対象外",J143="n/a")),"対象なのにR／Sが対象外・n/a",IF(AND(G143="対象",OR(I143="",J143="")),"R・Sを入力",IF(AND(ISNUMBER(J143),ISNUMBER(V143),ABS(N(J143)-N(V143))&gt;=1),"RとSの乖離（案分ならUに明記）",IF(AND(G143="対象",L143=""),"Uに制約・代替策・未検証を記載",IF(AND(G143="対象外",L143=""),"対象外の理由・承認者をUに記載",IF(OR(M143="",N143="",O143=""),"V～Xを入力",IF(P143&gt;0,"未記入あり（P列）","OK"))))))))))</f>
        <v>会社名コード未設定（D4）</v>
      </c>
      <c r="R143" s="11" t="str">
        <f aca="false">IF(INDEX(評価項目対応!$M$6:$M$236,$U143)="","",INDEX(評価項目対応!$M$6:$M$236,$U143))</f>
        <v>5.01</v>
      </c>
      <c r="S143" s="11" t="str">
        <f aca="false">INDEX(評価項目対応!$H$6:$H$236,$U143)</f>
        <v>ChromeOSは設定がクラウド管理のため、初期化→再登録でポリシーが再配布される。再構築手順と所要時間（5.06）、予備機の保管・貸出、既存の保管資料（5.01）で確認する。</v>
      </c>
      <c r="T143" s="11" t="str">
        <f aca="false">TRIM(IF(INDEX(評価項目対応!$K$6:$K$236,$U143)="","","試験ID: "&amp;INDEX(評価項目対応!$K$6:$K$236,$U143)&amp;"　")&amp;IF(INDEX(評価項目対応!$L$6:$L$236,$U143)="","","判断理由: "&amp;INDEX(評価項目対応!$L$6:$L$236,$U143)))</f>
        <v/>
      </c>
      <c r="U143" s="28" t="n">
        <f aca="false">MATCH($A143,評価項目対応!$A$6:$A$236,0)</f>
        <v>137</v>
      </c>
      <c r="V143" s="28" t="str">
        <f aca="false">IFERROR(VLOOKUP(I143,$X$6:$Y$11,2,FALSE()),"")</f>
        <v/>
      </c>
    </row>
    <row r="144" customFormat="false" ht="78" hidden="false" customHeight="true" outlineLevel="0" collapsed="false">
      <c r="A144" s="13" t="n">
        <v>140</v>
      </c>
      <c r="B144" s="13" t="n">
        <f aca="false">INDEX(評価項目対応!$B$6:$B$236,$U144)</f>
        <v>9</v>
      </c>
      <c r="C144" s="13" t="str">
        <f aca="false">INDEX(評価項目対応!$F$6:$F$236,$U144)</f>
        <v>5.01</v>
      </c>
      <c r="D144" s="11" t="str">
        <f aca="false">INDEX(評価項目対応!$D$6:$D$236,$U144)</f>
        <v>バックアップ</v>
      </c>
      <c r="E144" s="11" t="str">
        <f aca="false">INDEX(評価項目対応!$E$6:$E$236,$U144)</f>
        <v>同じベンダーのすべてのアカウントが影響を受けた場合に備えて、クラウ
ド間のバックアップにベンダーロックインを回避するためにマルチクラウ
ドソリューションの使用を検討する。</v>
      </c>
      <c r="F144" s="13" t="str">
        <f aca="false">IF($D$4="","",$D$4)</f>
        <v/>
      </c>
      <c r="G144" s="13" t="str">
        <f aca="false">IFERROR(IF(INDEX(評価項目対応!$I$6:$I$236,$U144)="対象","対象",IF(INDEX(評価項目対応!$I$6:$I$236,$U144)="対象外（承認済）","対象外",IF(INDEX(評価項目対応!$I$6:$I$236,$U144)="未確定","n/a",""))),"")</f>
        <v>n/a</v>
      </c>
      <c r="H144" s="25" t="str">
        <f aca="false">IF(ISBLANK(J144),"",IF(J144=5,"Yes",IF(J144=4,"Yes","No")))</f>
        <v/>
      </c>
      <c r="I144" s="18"/>
      <c r="J144" s="26"/>
      <c r="K144" s="18"/>
      <c r="L144" s="18"/>
      <c r="M144" s="11" t="str">
        <f aca="false">IF(INDEX(評価項目対応!$J$6:$J$236,$U144)="","",INDEX(評価項目対応!$J$6:$J$236,$U144))</f>
        <v/>
      </c>
      <c r="N144" s="11" t="str">
        <f aca="false">IF(INDEX(評価項目対応!$N$6:$N$236,$U144)="","",INDEX(評価項目対応!$N$6:$N$236,$U144))</f>
        <v/>
      </c>
      <c r="O144" s="11" t="str">
        <f aca="false">IF(INDEX(評価項目対応!$O$6:$O$236,$U144)="","",INDEX(評価項目対応!$O$6:$O$236,$U144))</f>
        <v/>
      </c>
      <c r="P144" s="27" t="n">
        <f aca="false">COUNTIF(F144:G144,"")+COUNTIF(I144:O144,"")-IF(AND(G144="対象外",K144=""),1,0)</f>
        <v>8</v>
      </c>
      <c r="Q144" s="11" t="str">
        <f aca="false">IF(F144="","会社名コード未設定（D4）",IF(OR(G144="",G144="n/a"),"適用性を確定（評価項目対応I列）",IF(AND(G144="対象外",OR(I144&lt;&gt;"対象外",J144&lt;&gt;"n/a")),"対象外ならR=対象外・S=n/a",IF(AND(G144="対象",OR(I144="対象外",J144="n/a")),"対象なのにR／Sが対象外・n/a",IF(AND(G144="対象",OR(I144="",J144="")),"R・Sを入力",IF(AND(ISNUMBER(J144),ISNUMBER(V144),ABS(N(J144)-N(V144))&gt;=1),"RとSの乖離（案分ならUに明記）",IF(AND(G144="対象",L144=""),"Uに制約・代替策・未検証を記載",IF(AND(G144="対象外",L144=""),"対象外の理由・承認者をUに記載",IF(OR(M144="",N144="",O144=""),"V～Xを入力",IF(P144&gt;0,"未記入あり（P列）","OK"))))))))))</f>
        <v>会社名コード未設定（D4）</v>
      </c>
      <c r="R144" s="11" t="str">
        <f aca="false">IF(INDEX(評価項目対応!$M$6:$M$236,$U144)="","",INDEX(評価項目対応!$M$6:$M$236,$U144))</f>
        <v/>
      </c>
      <c r="S144" s="11" t="str">
        <f aca="false">INDEX(評価項目対応!$H$6:$H$236,$U144)</f>
        <v>既存のデータ保護・復元記録を責任者から受領して評価する。端末の初期化後の再アクセスはデータ復元試験の代わりとしない。</v>
      </c>
      <c r="T144" s="11" t="str">
        <f aca="false">TRIM(IF(INDEX(評価項目対応!$K$6:$K$236,$U144)="","","試験ID: "&amp;INDEX(評価項目対応!$K$6:$K$236,$U144)&amp;"　")&amp;IF(INDEX(評価項目対応!$L$6:$L$236,$U144)="","","判断理由: "&amp;INDEX(評価項目対応!$L$6:$L$236,$U144)))</f>
        <v/>
      </c>
      <c r="U144" s="28" t="n">
        <f aca="false">MATCH($A144,評価項目対応!$A$6:$A$236,0)</f>
        <v>138</v>
      </c>
      <c r="V144" s="28" t="str">
        <f aca="false">IFERROR(VLOOKUP(I144,$X$6:$Y$11,2,FALSE()),"")</f>
        <v/>
      </c>
    </row>
    <row r="145" customFormat="false" ht="49.5" hidden="false" customHeight="true" outlineLevel="0" collapsed="false">
      <c r="A145" s="13" t="n">
        <v>141</v>
      </c>
      <c r="B145" s="13" t="n">
        <f aca="false">INDEX(評価項目対応!$B$6:$B$236,$U145)</f>
        <v>136</v>
      </c>
      <c r="C145" s="13" t="str">
        <f aca="false">INDEX(評価項目対応!$F$6:$F$236,$U145)</f>
        <v>5.01</v>
      </c>
      <c r="D145" s="11" t="str">
        <f aca="false">INDEX(評価項目対応!$D$6:$D$236,$U145)</f>
        <v>バックアップ</v>
      </c>
      <c r="E145" s="11" t="str">
        <f aca="false">INDEX(評価項目対応!$E$6:$E$236,$U145)</f>
        <v>データを頻繁にバックアップする。オフラインまたはクラウド間バックア
ップを活用する。</v>
      </c>
      <c r="F145" s="13" t="str">
        <f aca="false">IF($D$4="","",$D$4)</f>
        <v/>
      </c>
      <c r="G145" s="13" t="str">
        <f aca="false">IFERROR(IF(INDEX(評価項目対応!$I$6:$I$236,$U145)="対象","対象",IF(INDEX(評価項目対応!$I$6:$I$236,$U145)="対象外（承認済）","対象外",IF(INDEX(評価項目対応!$I$6:$I$236,$U145)="未確定","n/a",""))),"")</f>
        <v>n/a</v>
      </c>
      <c r="H145" s="25" t="str">
        <f aca="false">IF(ISBLANK(J145),"",IF(J145=5,"Yes",IF(J145=4,"Yes","No")))</f>
        <v/>
      </c>
      <c r="I145" s="18"/>
      <c r="J145" s="26"/>
      <c r="K145" s="18"/>
      <c r="L145" s="18"/>
      <c r="M145" s="11" t="str">
        <f aca="false">IF(INDEX(評価項目対応!$J$6:$J$236,$U145)="","",INDEX(評価項目対応!$J$6:$J$236,$U145))</f>
        <v/>
      </c>
      <c r="N145" s="11" t="str">
        <f aca="false">IF(INDEX(評価項目対応!$N$6:$N$236,$U145)="","",INDEX(評価項目対応!$N$6:$N$236,$U145))</f>
        <v/>
      </c>
      <c r="O145" s="11" t="str">
        <f aca="false">IF(INDEX(評価項目対応!$O$6:$O$236,$U145)="","",INDEX(評価項目対応!$O$6:$O$236,$U145))</f>
        <v/>
      </c>
      <c r="P145" s="27" t="n">
        <f aca="false">COUNTIF(F145:G145,"")+COUNTIF(I145:O145,"")-IF(AND(G145="対象外",K145=""),1,0)</f>
        <v>8</v>
      </c>
      <c r="Q145" s="11" t="str">
        <f aca="false">IF(F145="","会社名コード未設定（D4）",IF(OR(G145="",G145="n/a"),"適用性を確定（評価項目対応I列）",IF(AND(G145="対象外",OR(I145&lt;&gt;"対象外",J145&lt;&gt;"n/a")),"対象外ならR=対象外・S=n/a",IF(AND(G145="対象",OR(I145="対象外",J145="n/a")),"対象なのにR／Sが対象外・n/a",IF(AND(G145="対象",OR(I145="",J145="")),"R・Sを入力",IF(AND(ISNUMBER(J145),ISNUMBER(V145),ABS(N(J145)-N(V145))&gt;=1),"RとSの乖離（案分ならUに明記）",IF(AND(G145="対象",L145=""),"Uに制約・代替策・未検証を記載",IF(AND(G145="対象外",L145=""),"対象外の理由・承認者をUに記載",IF(OR(M145="",N145="",O145=""),"V～Xを入力",IF(P145&gt;0,"未記入あり（P列）","OK"))))))))))</f>
        <v>会社名コード未設定（D4）</v>
      </c>
      <c r="R145" s="11" t="str">
        <f aca="false">IF(INDEX(評価項目対応!$M$6:$M$236,$U145)="","",INDEX(評価項目対応!$M$6:$M$236,$U145))</f>
        <v/>
      </c>
      <c r="S145" s="11" t="str">
        <f aca="false">INDEX(評価項目対応!$H$6:$H$236,$U145)</f>
        <v>既存のデータ保護・復元記録を責任者から受領して評価する。端末の初期化後の再アクセスはデータ復元試験の代わりとしない。</v>
      </c>
      <c r="T145" s="11" t="str">
        <f aca="false">TRIM(IF(INDEX(評価項目対応!$K$6:$K$236,$U145)="","","試験ID: "&amp;INDEX(評価項目対応!$K$6:$K$236,$U145)&amp;"　")&amp;IF(INDEX(評価項目対応!$L$6:$L$236,$U145)="","","判断理由: "&amp;INDEX(評価項目対応!$L$6:$L$236,$U145)))</f>
        <v/>
      </c>
      <c r="U145" s="28" t="n">
        <f aca="false">MATCH($A145,評価項目対応!$A$6:$A$236,0)</f>
        <v>139</v>
      </c>
      <c r="V145" s="28" t="str">
        <f aca="false">IFERROR(VLOOKUP(I145,$X$6:$Y$11,2,FALSE()),"")</f>
        <v/>
      </c>
    </row>
    <row r="146" customFormat="false" ht="120" hidden="false" customHeight="true" outlineLevel="0" collapsed="false">
      <c r="A146" s="13" t="n">
        <v>142</v>
      </c>
      <c r="B146" s="13" t="n">
        <f aca="false">INDEX(評価項目対応!$B$6:$B$236,$U146)</f>
        <v>3</v>
      </c>
      <c r="C146" s="13" t="str">
        <f aca="false">INDEX(評価項目対応!$F$6:$F$236,$U146)</f>
        <v>5.06</v>
      </c>
      <c r="D146" s="11" t="str">
        <f aca="false">INDEX(評価項目対応!$D$6:$D$236,$U146)</f>
        <v>バックアップ
ゴールデンイメージ</v>
      </c>
      <c r="E146" s="11" t="str">
        <f aca="false">INDEX(評価項目対応!$E$6:$E$236,$U146)</f>
        <v>重要なシステムの「ゴールデンイメージ」を維持し、定期的に更新する。
（これには、事前に設定されたオペレーティングシステム（OS）と関連す
るソフトウェアアプリケーションを備えたイメージ「テンプレート」を維
持することが含まれる。これにより、仮想マシンやサーバーなどのシステ
ムを迅速に再構築できる。）</v>
      </c>
      <c r="F146" s="13" t="str">
        <f aca="false">IF($D$4="","",$D$4)</f>
        <v/>
      </c>
      <c r="G146" s="13" t="str">
        <f aca="false">IFERROR(IF(INDEX(評価項目対応!$I$6:$I$236,$U146)="対象","対象",IF(INDEX(評価項目対応!$I$6:$I$236,$U146)="対象外（承認済）","対象外",IF(INDEX(評価項目対応!$I$6:$I$236,$U146)="未確定","n/a",""))),"")</f>
        <v>n/a</v>
      </c>
      <c r="H146" s="25" t="str">
        <f aca="false">IF(ISBLANK(J146),"",IF(J146=5,"Yes",IF(J146=4,"Yes","No")))</f>
        <v/>
      </c>
      <c r="I146" s="18"/>
      <c r="J146" s="26"/>
      <c r="K146" s="18"/>
      <c r="L146" s="18"/>
      <c r="M146" s="11" t="str">
        <f aca="false">IF(INDEX(評価項目対応!$J$6:$J$236,$U146)="","",INDEX(評価項目対応!$J$6:$J$236,$U146))</f>
        <v/>
      </c>
      <c r="N146" s="11" t="str">
        <f aca="false">IF(INDEX(評価項目対応!$N$6:$N$236,$U146)="","",INDEX(評価項目対応!$N$6:$N$236,$U146))</f>
        <v/>
      </c>
      <c r="O146" s="11" t="str">
        <f aca="false">IF(INDEX(評価項目対応!$O$6:$O$236,$U146)="","",INDEX(評価項目対応!$O$6:$O$236,$U146))</f>
        <v/>
      </c>
      <c r="P146" s="27" t="n">
        <f aca="false">COUNTIF(F146:G146,"")+COUNTIF(I146:O146,"")-IF(AND(G146="対象外",K146=""),1,0)</f>
        <v>8</v>
      </c>
      <c r="Q146" s="11" t="str">
        <f aca="false">IF(F146="","会社名コード未設定（D4）",IF(OR(G146="",G146="n/a"),"適用性を確定（評価項目対応I列）",IF(AND(G146="対象外",OR(I146&lt;&gt;"対象外",J146&lt;&gt;"n/a")),"対象外ならR=対象外・S=n/a",IF(AND(G146="対象",OR(I146="対象外",J146="n/a")),"対象なのにR／Sが対象外・n/a",IF(AND(G146="対象",OR(I146="",J146="")),"R・Sを入力",IF(AND(ISNUMBER(J146),ISNUMBER(V146),ABS(N(J146)-N(V146))&gt;=1),"RとSの乖離（案分ならUに明記）",IF(AND(G146="対象",L146=""),"Uに制約・代替策・未検証を記載",IF(AND(G146="対象外",L146=""),"対象外の理由・承認者をUに記載",IF(OR(M146="",N146="",O146=""),"V～Xを入力",IF(P146&gt;0,"未記入あり（P列）","OK"))))))))))</f>
        <v>会社名コード未設定（D4）</v>
      </c>
      <c r="R146" s="11" t="str">
        <f aca="false">IF(INDEX(評価項目対応!$M$6:$M$236,$U146)="","",INDEX(評価項目対応!$M$6:$M$236,$U146))</f>
        <v>5.01</v>
      </c>
      <c r="S146" s="11" t="str">
        <f aca="false">INDEX(評価項目対応!$H$6:$H$236,$U146)</f>
        <v>ChromeOSは設定がクラウド管理のため、初期化→再登録でポリシーが再配布される。再構築手順と所要時間（5.06）、予備機の保管・貸出、既存の保管資料（5.01）で確認する。</v>
      </c>
      <c r="T146" s="11" t="str">
        <f aca="false">TRIM(IF(INDEX(評価項目対応!$K$6:$K$236,$U146)="","","試験ID: "&amp;INDEX(評価項目対応!$K$6:$K$236,$U146)&amp;"　")&amp;IF(INDEX(評価項目対応!$L$6:$L$236,$U146)="","","判断理由: "&amp;INDEX(評価項目対応!$L$6:$L$236,$U146)))</f>
        <v/>
      </c>
      <c r="U146" s="28" t="n">
        <f aca="false">MATCH($A146,評価項目対応!$A$6:$A$236,0)</f>
        <v>140</v>
      </c>
      <c r="V146" s="28" t="str">
        <f aca="false">IFERROR(VLOOKUP(I146,$X$6:$Y$11,2,FALSE()),"")</f>
        <v/>
      </c>
    </row>
    <row r="147" customFormat="false" ht="63.75" hidden="false" customHeight="true" outlineLevel="0" collapsed="false">
      <c r="A147" s="13" t="n">
        <v>143</v>
      </c>
      <c r="B147" s="13" t="n">
        <f aca="false">INDEX(評価項目対応!$B$6:$B$236,$U147)</f>
        <v>2</v>
      </c>
      <c r="C147" s="13" t="str">
        <f aca="false">INDEX(評価項目対応!$F$6:$F$236,$U147)</f>
        <v>5.02</v>
      </c>
      <c r="D147" s="11" t="str">
        <f aca="false">INDEX(評価項目対応!$D$6:$D$236,$U147)</f>
        <v>障害復旧</v>
      </c>
      <c r="E147" s="11" t="str">
        <f aca="false">INDEX(評価項目対応!$E$6:$E$236,$U147)</f>
        <v>障害復旧シナリオでバックアップの可用性と完全性を定期的にテストする
。</v>
      </c>
      <c r="F147" s="13" t="str">
        <f aca="false">IF($D$4="","",$D$4)</f>
        <v/>
      </c>
      <c r="G147" s="13" t="str">
        <f aca="false">IFERROR(IF(INDEX(評価項目対応!$I$6:$I$236,$U147)="対象","対象",IF(INDEX(評価項目対応!$I$6:$I$236,$U147)="対象外（承認済）","対象外",IF(INDEX(評価項目対応!$I$6:$I$236,$U147)="未確定","n/a",""))),"")</f>
        <v>n/a</v>
      </c>
      <c r="H147" s="25" t="str">
        <f aca="false">IF(ISBLANK(J147),"",IF(J147=5,"Yes",IF(J147=4,"Yes","No")))</f>
        <v/>
      </c>
      <c r="I147" s="18"/>
      <c r="J147" s="26"/>
      <c r="K147" s="18"/>
      <c r="L147" s="18"/>
      <c r="M147" s="11" t="str">
        <f aca="false">IF(INDEX(評価項目対応!$J$6:$J$236,$U147)="","",INDEX(評価項目対応!$J$6:$J$236,$U147))</f>
        <v/>
      </c>
      <c r="N147" s="11" t="str">
        <f aca="false">IF(INDEX(評価項目対応!$N$6:$N$236,$U147)="","",INDEX(評価項目対応!$N$6:$N$236,$U147))</f>
        <v/>
      </c>
      <c r="O147" s="11" t="str">
        <f aca="false">IF(INDEX(評価項目対応!$O$6:$O$236,$U147)="","",INDEX(評価項目対応!$O$6:$O$236,$U147))</f>
        <v/>
      </c>
      <c r="P147" s="27" t="n">
        <f aca="false">COUNTIF(F147:G147,"")+COUNTIF(I147:O147,"")-IF(AND(G147="対象外",K147=""),1,0)</f>
        <v>8</v>
      </c>
      <c r="Q147" s="11" t="str">
        <f aca="false">IF(F147="","会社名コード未設定（D4）",IF(OR(G147="",G147="n/a"),"適用性を確定（評価項目対応I列）",IF(AND(G147="対象外",OR(I147&lt;&gt;"対象外",J147&lt;&gt;"n/a")),"対象外ならR=対象外・S=n/a",IF(AND(G147="対象",OR(I147="対象外",J147="n/a")),"対象なのにR／Sが対象外・n/a",IF(AND(G147="対象",OR(I147="",J147="")),"R・Sを入力",IF(AND(ISNUMBER(J147),ISNUMBER(V147),ABS(N(J147)-N(V147))&gt;=1),"RとSの乖離（案分ならUに明記）",IF(AND(G147="対象",L147=""),"Uに制約・代替策・未検証を記載",IF(AND(G147="対象外",L147=""),"対象外の理由・承認者をUに記載",IF(OR(M147="",N147="",O147=""),"V～Xを入力",IF(P147&gt;0,"未記入あり（P列）","OK"))))))))))</f>
        <v>会社名コード未設定（D4）</v>
      </c>
      <c r="R147" s="11" t="str">
        <f aca="false">IF(INDEX(評価項目対応!$M$6:$M$236,$U147)="","",INDEX(評価項目対応!$M$6:$M$236,$U147))</f>
        <v>1.04</v>
      </c>
      <c r="S147" s="11" t="str">
        <f aca="false">INDEX(評価項目対応!$H$6:$H$236,$U147)</f>
        <v>5.01の既存復元証跡を先に評価する。証跡不足または保護方式・保存先変更時のみデータ管理担当が追加復元試験を実施する。 Driveランサムウェア検知・復元の適用範囲（1.04）も確認する。</v>
      </c>
      <c r="T147" s="11" t="str">
        <f aca="false">TRIM(IF(INDEX(評価項目対応!$K$6:$K$236,$U147)="","","試験ID: "&amp;INDEX(評価項目対応!$K$6:$K$236,$U147)&amp;"　")&amp;IF(INDEX(評価項目対応!$L$6:$L$236,$U147)="","","判断理由: "&amp;INDEX(評価項目対応!$L$6:$L$236,$U147)))</f>
        <v/>
      </c>
      <c r="U147" s="28" t="n">
        <f aca="false">MATCH($A147,評価項目対応!$A$6:$A$236,0)</f>
        <v>141</v>
      </c>
      <c r="V147" s="28" t="str">
        <f aca="false">IFERROR(VLOOKUP(I147,$X$6:$Y$11,2,FALSE()),"")</f>
        <v/>
      </c>
    </row>
    <row r="148" customFormat="false" ht="63.75" hidden="false" customHeight="true" outlineLevel="0" collapsed="false">
      <c r="A148" s="13" t="n">
        <v>144</v>
      </c>
      <c r="B148" s="13" t="n">
        <f aca="false">INDEX(評価項目対応!$B$6:$B$236,$U148)</f>
        <v>11</v>
      </c>
      <c r="C148" s="13" t="str">
        <f aca="false">INDEX(評価項目対応!$F$6:$F$236,$U148)</f>
        <v>5.08</v>
      </c>
      <c r="D148" s="11" t="str">
        <f aca="false">INDEX(評価項目対応!$D$6:$D$236,$U148)</f>
        <v>インシデント対応</v>
      </c>
      <c r="E148" s="11" t="str">
        <f aca="false">INDEX(評価項目対応!$E$6:$E$236,$U148)</f>
        <v>ランサムウェアとデータ流出インシデントの対応と通知手順を含む基本的
なサイバーインシデント対応計画と関連する通信計画を作成し維持する。</v>
      </c>
      <c r="F148" s="13" t="str">
        <f aca="false">IF($D$4="","",$D$4)</f>
        <v/>
      </c>
      <c r="G148" s="13" t="str">
        <f aca="false">IFERROR(IF(INDEX(評価項目対応!$I$6:$I$236,$U148)="対象","対象",IF(INDEX(評価項目対応!$I$6:$I$236,$U148)="対象外（承認済）","対象外",IF(INDEX(評価項目対応!$I$6:$I$236,$U148)="未確定","n/a",""))),"")</f>
        <v>n/a</v>
      </c>
      <c r="H148" s="25" t="str">
        <f aca="false">IF(ISBLANK(J148),"",IF(J148=5,"Yes",IF(J148=4,"Yes","No")))</f>
        <v/>
      </c>
      <c r="I148" s="18"/>
      <c r="J148" s="26"/>
      <c r="K148" s="18"/>
      <c r="L148" s="18"/>
      <c r="M148" s="11" t="str">
        <f aca="false">IF(INDEX(評価項目対応!$J$6:$J$236,$U148)="","",INDEX(評価項目対応!$J$6:$J$236,$U148))</f>
        <v/>
      </c>
      <c r="N148" s="11" t="str">
        <f aca="false">IF(INDEX(評価項目対応!$N$6:$N$236,$U148)="","",INDEX(評価項目対応!$N$6:$N$236,$U148))</f>
        <v/>
      </c>
      <c r="O148" s="11" t="str">
        <f aca="false">IF(INDEX(評価項目対応!$O$6:$O$236,$U148)="","",INDEX(評価項目対応!$O$6:$O$236,$U148))</f>
        <v/>
      </c>
      <c r="P148" s="27" t="n">
        <f aca="false">COUNTIF(F148:G148,"")+COUNTIF(I148:O148,"")-IF(AND(G148="対象外",K148=""),1,0)</f>
        <v>8</v>
      </c>
      <c r="Q148" s="11" t="str">
        <f aca="false">IF(F148="","会社名コード未設定（D4）",IF(OR(G148="",G148="n/a"),"適用性を確定（評価項目対応I列）",IF(AND(G148="対象外",OR(I148&lt;&gt;"対象外",J148&lt;&gt;"n/a")),"対象外ならR=対象外・S=n/a",IF(AND(G148="対象",OR(I148="対象外",J148="n/a")),"対象なのにR／Sが対象外・n/a",IF(AND(G148="対象",OR(I148="",J148="")),"R・Sを入力",IF(AND(ISNUMBER(J148),ISNUMBER(V148),ABS(N(J148)-N(V148))&gt;=1),"RとSの乖離（案分ならUに明記）",IF(AND(G148="対象",L148=""),"Uに制約・代替策・未検証を記載",IF(AND(G148="対象外",L148=""),"対象外の理由・承認者をUに記載",IF(OR(M148="",N148="",O148=""),"V～Xを入力",IF(P148&gt;0,"未記入あり（P列）","OK"))))))))))</f>
        <v>会社名コード未設定（D4）</v>
      </c>
      <c r="R148" s="11" t="str">
        <f aca="false">IF(INDEX(評価項目対応!$M$6:$M$236,$U148)="","",INDEX(評価項目対応!$M$6:$M$236,$U148))</f>
        <v/>
      </c>
      <c r="S148" s="11" t="str">
        <f aca="false">INDEX(評価項目対応!$H$6:$H$236,$U148)</f>
        <v>社内の教育・IR・報告・承認・定期改善の規程と実績を確認する。未整備は課題化し適用除外しない。</v>
      </c>
      <c r="T148" s="11" t="str">
        <f aca="false">TRIM(IF(INDEX(評価項目対応!$K$6:$K$236,$U148)="","","試験ID: "&amp;INDEX(評価項目対応!$K$6:$K$236,$U148)&amp;"　")&amp;IF(INDEX(評価項目対応!$L$6:$L$236,$U148)="","","判断理由: "&amp;INDEX(評価項目対応!$L$6:$L$236,$U148)))</f>
        <v/>
      </c>
      <c r="U148" s="28" t="n">
        <f aca="false">MATCH($A148,評価項目対応!$A$6:$A$236,0)</f>
        <v>142</v>
      </c>
      <c r="V148" s="28" t="str">
        <f aca="false">IFERROR(VLOOKUP(I148,$X$6:$Y$11,2,FALSE()),"")</f>
        <v/>
      </c>
    </row>
    <row r="149" customFormat="false" ht="49.5" hidden="false" customHeight="true" outlineLevel="0" collapsed="false">
      <c r="A149" s="13" t="n">
        <v>145</v>
      </c>
      <c r="B149" s="13" t="n">
        <f aca="false">INDEX(評価項目対応!$B$6:$B$236,$U149)</f>
        <v>12</v>
      </c>
      <c r="C149" s="13" t="str">
        <f aca="false">INDEX(評価項目対応!$F$6:$F$236,$U149)</f>
        <v>5.08</v>
      </c>
      <c r="D149" s="11" t="str">
        <f aca="false">INDEX(評価項目対応!$D$6:$D$236,$U149)</f>
        <v>インシデント対応</v>
      </c>
      <c r="E149" s="11" t="str">
        <f aca="false">INDEX(評価項目対応!$E$6:$E$236,$U149)</f>
        <v>インシデント対応計画と通信計画のハードコピーとオフラインバージョン
を用意する。</v>
      </c>
      <c r="F149" s="13" t="str">
        <f aca="false">IF($D$4="","",$D$4)</f>
        <v/>
      </c>
      <c r="G149" s="13" t="str">
        <f aca="false">IFERROR(IF(INDEX(評価項目対応!$I$6:$I$236,$U149)="対象","対象",IF(INDEX(評価項目対応!$I$6:$I$236,$U149)="対象外（承認済）","対象外",IF(INDEX(評価項目対応!$I$6:$I$236,$U149)="未確定","n/a",""))),"")</f>
        <v>n/a</v>
      </c>
      <c r="H149" s="25" t="str">
        <f aca="false">IF(ISBLANK(J149),"",IF(J149=5,"Yes",IF(J149=4,"Yes","No")))</f>
        <v/>
      </c>
      <c r="I149" s="18"/>
      <c r="J149" s="26"/>
      <c r="K149" s="18"/>
      <c r="L149" s="18"/>
      <c r="M149" s="11" t="str">
        <f aca="false">IF(INDEX(評価項目対応!$J$6:$J$236,$U149)="","",INDEX(評価項目対応!$J$6:$J$236,$U149))</f>
        <v/>
      </c>
      <c r="N149" s="11" t="str">
        <f aca="false">IF(INDEX(評価項目対応!$N$6:$N$236,$U149)="","",INDEX(評価項目対応!$N$6:$N$236,$U149))</f>
        <v/>
      </c>
      <c r="O149" s="11" t="str">
        <f aca="false">IF(INDEX(評価項目対応!$O$6:$O$236,$U149)="","",INDEX(評価項目対応!$O$6:$O$236,$U149))</f>
        <v/>
      </c>
      <c r="P149" s="27" t="n">
        <f aca="false">COUNTIF(F149:G149,"")+COUNTIF(I149:O149,"")-IF(AND(G149="対象外",K149=""),1,0)</f>
        <v>8</v>
      </c>
      <c r="Q149" s="11" t="str">
        <f aca="false">IF(F149="","会社名コード未設定（D4）",IF(OR(G149="",G149="n/a"),"適用性を確定（評価項目対応I列）",IF(AND(G149="対象外",OR(I149&lt;&gt;"対象外",J149&lt;&gt;"n/a")),"対象外ならR=対象外・S=n/a",IF(AND(G149="対象",OR(I149="対象外",J149="n/a")),"対象なのにR／Sが対象外・n/a",IF(AND(G149="対象",OR(I149="",J149="")),"R・Sを入力",IF(AND(ISNUMBER(J149),ISNUMBER(V149),ABS(N(J149)-N(V149))&gt;=1),"RとSの乖離（案分ならUに明記）",IF(AND(G149="対象",L149=""),"Uに制約・代替策・未検証を記載",IF(AND(G149="対象外",L149=""),"対象外の理由・承認者をUに記載",IF(OR(M149="",N149="",O149=""),"V～Xを入力",IF(P149&gt;0,"未記入あり（P列）","OK"))))))))))</f>
        <v>会社名コード未設定（D4）</v>
      </c>
      <c r="R149" s="11" t="str">
        <f aca="false">IF(INDEX(評価項目対応!$M$6:$M$236,$U149)="","",INDEX(評価項目対応!$M$6:$M$236,$U149))</f>
        <v/>
      </c>
      <c r="S149" s="11" t="str">
        <f aca="false">INDEX(評価項目対応!$H$6:$H$236,$U149)</f>
        <v>社内の教育・IR・報告・承認・定期改善の規程と実績を確認する。未整備は課題化し適用除外しない。</v>
      </c>
      <c r="T149" s="11" t="str">
        <f aca="false">TRIM(IF(INDEX(評価項目対応!$K$6:$K$236,$U149)="","","試験ID: "&amp;INDEX(評価項目対応!$K$6:$K$236,$U149)&amp;"　")&amp;IF(INDEX(評価項目対応!$L$6:$L$236,$U149)="","","判断理由: "&amp;INDEX(評価項目対応!$L$6:$L$236,$U149)))</f>
        <v/>
      </c>
      <c r="U149" s="28" t="n">
        <f aca="false">MATCH($A149,評価項目対応!$A$6:$A$236,0)</f>
        <v>143</v>
      </c>
      <c r="V149" s="28" t="str">
        <f aca="false">IFERROR(VLOOKUP(I149,$X$6:$Y$11,2,FALSE()),"")</f>
        <v/>
      </c>
    </row>
    <row r="150" customFormat="false" ht="63.75" hidden="false" customHeight="true" outlineLevel="0" collapsed="false">
      <c r="A150" s="13" t="n">
        <v>146</v>
      </c>
      <c r="B150" s="13" t="n">
        <f aca="false">INDEX(評価項目対応!$B$6:$B$236,$U150)</f>
        <v>14</v>
      </c>
      <c r="C150" s="13" t="str">
        <f aca="false">INDEX(評価項目対応!$F$6:$F$236,$U150)</f>
        <v>5.08</v>
      </c>
      <c r="D150" s="11" t="str">
        <f aca="false">INDEX(評価項目対応!$D$6:$D$236,$U150)</f>
        <v>インシデント対応</v>
      </c>
      <c r="E150" s="11" t="str">
        <f aca="false">INDEX(評価項目対応!$E$6:$E$236,$U150)</f>
        <v>インシデント対応計画と通信計画がCEOまたはそれに相当する者によって
書面でレビューおよび承認されていることを確認する。</v>
      </c>
      <c r="F150" s="13" t="str">
        <f aca="false">IF($D$4="","",$D$4)</f>
        <v/>
      </c>
      <c r="G150" s="13" t="str">
        <f aca="false">IFERROR(IF(INDEX(評価項目対応!$I$6:$I$236,$U150)="対象","対象",IF(INDEX(評価項目対応!$I$6:$I$236,$U150)="対象外（承認済）","対象外",IF(INDEX(評価項目対応!$I$6:$I$236,$U150)="未確定","n/a",""))),"")</f>
        <v>n/a</v>
      </c>
      <c r="H150" s="25" t="str">
        <f aca="false">IF(ISBLANK(J150),"",IF(J150=5,"Yes",IF(J150=4,"Yes","No")))</f>
        <v/>
      </c>
      <c r="I150" s="18"/>
      <c r="J150" s="26"/>
      <c r="K150" s="18"/>
      <c r="L150" s="18"/>
      <c r="M150" s="11" t="str">
        <f aca="false">IF(INDEX(評価項目対応!$J$6:$J$236,$U150)="","",INDEX(評価項目対応!$J$6:$J$236,$U150))</f>
        <v/>
      </c>
      <c r="N150" s="11" t="str">
        <f aca="false">IF(INDEX(評価項目対応!$N$6:$N$236,$U150)="","",INDEX(評価項目対応!$N$6:$N$236,$U150))</f>
        <v/>
      </c>
      <c r="O150" s="11" t="str">
        <f aca="false">IF(INDEX(評価項目対応!$O$6:$O$236,$U150)="","",INDEX(評価項目対応!$O$6:$O$236,$U150))</f>
        <v/>
      </c>
      <c r="P150" s="27" t="n">
        <f aca="false">COUNTIF(F150:G150,"")+COUNTIF(I150:O150,"")-IF(AND(G150="対象外",K150=""),1,0)</f>
        <v>8</v>
      </c>
      <c r="Q150" s="11" t="str">
        <f aca="false">IF(F150="","会社名コード未設定（D4）",IF(OR(G150="",G150="n/a"),"適用性を確定（評価項目対応I列）",IF(AND(G150="対象外",OR(I150&lt;&gt;"対象外",J150&lt;&gt;"n/a")),"対象外ならR=対象外・S=n/a",IF(AND(G150="対象",OR(I150="対象外",J150="n/a")),"対象なのにR／Sが対象外・n/a",IF(AND(G150="対象",OR(I150="",J150="")),"R・Sを入力",IF(AND(ISNUMBER(J150),ISNUMBER(V150),ABS(N(J150)-N(V150))&gt;=1),"RとSの乖離（案分ならUに明記）",IF(AND(G150="対象",L150=""),"Uに制約・代替策・未検証を記載",IF(AND(G150="対象外",L150=""),"対象外の理由・承認者をUに記載",IF(OR(M150="",N150="",O150=""),"V～Xを入力",IF(P150&gt;0,"未記入あり（P列）","OK"))))))))))</f>
        <v>会社名コード未設定（D4）</v>
      </c>
      <c r="R150" s="11" t="str">
        <f aca="false">IF(INDEX(評価項目対応!$M$6:$M$236,$U150)="","",INDEX(評価項目対応!$M$6:$M$236,$U150))</f>
        <v/>
      </c>
      <c r="S150" s="11" t="str">
        <f aca="false">INDEX(評価項目対応!$H$6:$H$236,$U150)</f>
        <v>社内の教育・IR・報告・承認・定期改善の規程と実績を確認する。未整備は課題化し適用除外しない。</v>
      </c>
      <c r="T150" s="11" t="str">
        <f aca="false">TRIM(IF(INDEX(評価項目対応!$K$6:$K$236,$U150)="","","試験ID: "&amp;INDEX(評価項目対応!$K$6:$K$236,$U150)&amp;"　")&amp;IF(INDEX(評価項目対応!$L$6:$L$236,$U150)="","","判断理由: "&amp;INDEX(評価項目対応!$L$6:$L$236,$U150)))</f>
        <v/>
      </c>
      <c r="U150" s="28" t="n">
        <f aca="false">MATCH($A150,評価項目対応!$A$6:$A$236,0)</f>
        <v>144</v>
      </c>
      <c r="V150" s="28" t="str">
        <f aca="false">IFERROR(VLOOKUP(I150,$X$6:$Y$11,2,FALSE()),"")</f>
        <v/>
      </c>
    </row>
    <row r="151" customFormat="false" ht="49.5" hidden="false" customHeight="true" outlineLevel="0" collapsed="false">
      <c r="A151" s="13" t="n">
        <v>147</v>
      </c>
      <c r="B151" s="13" t="n">
        <f aca="false">INDEX(評価項目対応!$B$6:$B$236,$U151)</f>
        <v>15</v>
      </c>
      <c r="C151" s="13" t="str">
        <f aca="false">INDEX(評価項目対応!$F$6:$F$236,$U151)</f>
        <v>5.08</v>
      </c>
      <c r="D151" s="11" t="str">
        <f aca="false">INDEX(評価項目対応!$D$6:$D$236,$U151)</f>
        <v>インシデント対応</v>
      </c>
      <c r="E151" s="11" t="str">
        <f aca="false">INDEX(評価項目対応!$E$6:$E$236,$U151)</f>
        <v>インシデント対応計画と通信計画が指令系統全体でレビューおよび理解さ
れていることを確認する。</v>
      </c>
      <c r="F151" s="13" t="str">
        <f aca="false">IF($D$4="","",$D$4)</f>
        <v/>
      </c>
      <c r="G151" s="13" t="str">
        <f aca="false">IFERROR(IF(INDEX(評価項目対応!$I$6:$I$236,$U151)="対象","対象",IF(INDEX(評価項目対応!$I$6:$I$236,$U151)="対象外（承認済）","対象外",IF(INDEX(評価項目対応!$I$6:$I$236,$U151)="未確定","n/a",""))),"")</f>
        <v>n/a</v>
      </c>
      <c r="H151" s="25" t="str">
        <f aca="false">IF(ISBLANK(J151),"",IF(J151=5,"Yes",IF(J151=4,"Yes","No")))</f>
        <v/>
      </c>
      <c r="I151" s="18"/>
      <c r="J151" s="26"/>
      <c r="K151" s="18"/>
      <c r="L151" s="18"/>
      <c r="M151" s="11" t="str">
        <f aca="false">IF(INDEX(評価項目対応!$J$6:$J$236,$U151)="","",INDEX(評価項目対応!$J$6:$J$236,$U151))</f>
        <v/>
      </c>
      <c r="N151" s="11" t="str">
        <f aca="false">IF(INDEX(評価項目対応!$N$6:$N$236,$U151)="","",INDEX(評価項目対応!$N$6:$N$236,$U151))</f>
        <v/>
      </c>
      <c r="O151" s="11" t="str">
        <f aca="false">IF(INDEX(評価項目対応!$O$6:$O$236,$U151)="","",INDEX(評価項目対応!$O$6:$O$236,$U151))</f>
        <v/>
      </c>
      <c r="P151" s="27" t="n">
        <f aca="false">COUNTIF(F151:G151,"")+COUNTIF(I151:O151,"")-IF(AND(G151="対象外",K151=""),1,0)</f>
        <v>8</v>
      </c>
      <c r="Q151" s="11" t="str">
        <f aca="false">IF(F151="","会社名コード未設定（D4）",IF(OR(G151="",G151="n/a"),"適用性を確定（評価項目対応I列）",IF(AND(G151="対象外",OR(I151&lt;&gt;"対象外",J151&lt;&gt;"n/a")),"対象外ならR=対象外・S=n/a",IF(AND(G151="対象",OR(I151="対象外",J151="n/a")),"対象なのにR／Sが対象外・n/a",IF(AND(G151="対象",OR(I151="",J151="")),"R・Sを入力",IF(AND(ISNUMBER(J151),ISNUMBER(V151),ABS(N(J151)-N(V151))&gt;=1),"RとSの乖離（案分ならUに明記）",IF(AND(G151="対象",L151=""),"Uに制約・代替策・未検証を記載",IF(AND(G151="対象外",L151=""),"対象外の理由・承認者をUに記載",IF(OR(M151="",N151="",O151=""),"V～Xを入力",IF(P151&gt;0,"未記入あり（P列）","OK"))))))))))</f>
        <v>会社名コード未設定（D4）</v>
      </c>
      <c r="R151" s="11" t="str">
        <f aca="false">IF(INDEX(評価項目対応!$M$6:$M$236,$U151)="","",INDEX(評価項目対応!$M$6:$M$236,$U151))</f>
        <v/>
      </c>
      <c r="S151" s="11" t="str">
        <f aca="false">INDEX(評価項目対応!$H$6:$H$236,$U151)</f>
        <v>社内の教育・IR・報告・承認・定期改善の規程と実績を確認する。未整備は課題化し適用除外しない。</v>
      </c>
      <c r="T151" s="11" t="str">
        <f aca="false">TRIM(IF(INDEX(評価項目対応!$K$6:$K$236,$U151)="","","試験ID: "&amp;INDEX(評価項目対応!$K$6:$K$236,$U151)&amp;"　")&amp;IF(INDEX(評価項目対応!$L$6:$L$236,$U151)="","","判断理由: "&amp;INDEX(評価項目対応!$L$6:$L$236,$U151)))</f>
        <v/>
      </c>
      <c r="U151" s="28" t="n">
        <f aca="false">MATCH($A151,評価項目対応!$A$6:$A$236,0)</f>
        <v>145</v>
      </c>
      <c r="V151" s="28" t="str">
        <f aca="false">IFERROR(VLOOKUP(I151,$X$6:$Y$11,2,FALSE()),"")</f>
        <v/>
      </c>
    </row>
    <row r="152" customFormat="false" ht="36" hidden="false" customHeight="true" outlineLevel="0" collapsed="false">
      <c r="A152" s="13" t="n">
        <v>148</v>
      </c>
      <c r="B152" s="13" t="n">
        <f aca="false">INDEX(評価項目対応!$B$6:$B$236,$U152)</f>
        <v>16</v>
      </c>
      <c r="C152" s="13" t="str">
        <f aca="false">INDEX(評価項目対応!$F$6:$F$236,$U152)</f>
        <v>5.08</v>
      </c>
      <c r="D152" s="11" t="str">
        <f aca="false">INDEX(評価項目対応!$D$6:$D$236,$U152)</f>
        <v>インシデント対応</v>
      </c>
      <c r="E152" s="11" t="str">
        <f aca="false">INDEX(評価項目対応!$E$6:$E$236,$U152)</f>
        <v>サイバーインシデント対応の体制を整える。</v>
      </c>
      <c r="F152" s="13" t="str">
        <f aca="false">IF($D$4="","",$D$4)</f>
        <v/>
      </c>
      <c r="G152" s="13" t="str">
        <f aca="false">IFERROR(IF(INDEX(評価項目対応!$I$6:$I$236,$U152)="対象","対象",IF(INDEX(評価項目対応!$I$6:$I$236,$U152)="対象外（承認済）","対象外",IF(INDEX(評価項目対応!$I$6:$I$236,$U152)="未確定","n/a",""))),"")</f>
        <v>n/a</v>
      </c>
      <c r="H152" s="25" t="str">
        <f aca="false">IF(ISBLANK(J152),"",IF(J152=5,"Yes",IF(J152=4,"Yes","No")))</f>
        <v/>
      </c>
      <c r="I152" s="18"/>
      <c r="J152" s="26"/>
      <c r="K152" s="18"/>
      <c r="L152" s="18"/>
      <c r="M152" s="11" t="str">
        <f aca="false">IF(INDEX(評価項目対応!$J$6:$J$236,$U152)="","",INDEX(評価項目対応!$J$6:$J$236,$U152))</f>
        <v/>
      </c>
      <c r="N152" s="11" t="str">
        <f aca="false">IF(INDEX(評価項目対応!$N$6:$N$236,$U152)="","",INDEX(評価項目対応!$N$6:$N$236,$U152))</f>
        <v/>
      </c>
      <c r="O152" s="11" t="str">
        <f aca="false">IF(INDEX(評価項目対応!$O$6:$O$236,$U152)="","",INDEX(評価項目対応!$O$6:$O$236,$U152))</f>
        <v/>
      </c>
      <c r="P152" s="27" t="n">
        <f aca="false">COUNTIF(F152:G152,"")+COUNTIF(I152:O152,"")-IF(AND(G152="対象外",K152=""),1,0)</f>
        <v>8</v>
      </c>
      <c r="Q152" s="11" t="str">
        <f aca="false">IF(F152="","会社名コード未設定（D4）",IF(OR(G152="",G152="n/a"),"適用性を確定（評価項目対応I列）",IF(AND(G152="対象外",OR(I152&lt;&gt;"対象外",J152&lt;&gt;"n/a")),"対象外ならR=対象外・S=n/a",IF(AND(G152="対象",OR(I152="対象外",J152="n/a")),"対象なのにR／Sが対象外・n/a",IF(AND(G152="対象",OR(I152="",J152="")),"R・Sを入力",IF(AND(ISNUMBER(J152),ISNUMBER(V152),ABS(N(J152)-N(V152))&gt;=1),"RとSの乖離（案分ならUに明記）",IF(AND(G152="対象",L152=""),"Uに制約・代替策・未検証を記載",IF(AND(G152="対象外",L152=""),"対象外の理由・承認者をUに記載",IF(OR(M152="",N152="",O152=""),"V～Xを入力",IF(P152&gt;0,"未記入あり（P列）","OK"))))))))))</f>
        <v>会社名コード未設定（D4）</v>
      </c>
      <c r="R152" s="11" t="str">
        <f aca="false">IF(INDEX(評価項目対応!$M$6:$M$236,$U152)="","",INDEX(評価項目対応!$M$6:$M$236,$U152))</f>
        <v/>
      </c>
      <c r="S152" s="11" t="str">
        <f aca="false">INDEX(評価項目対応!$H$6:$H$236,$U152)</f>
        <v>社内の教育・IR・報告・承認・定期改善の規程と実績を確認する。未整備は課題化し適用除外しない。</v>
      </c>
      <c r="T152" s="11" t="str">
        <f aca="false">TRIM(IF(INDEX(評価項目対応!$K$6:$K$236,$U152)="","","試験ID: "&amp;INDEX(評価項目対応!$K$6:$K$236,$U152)&amp;"　")&amp;IF(INDEX(評価項目対応!$L$6:$L$236,$U152)="","","判断理由: "&amp;INDEX(評価項目対応!$L$6:$L$236,$U152)))</f>
        <v/>
      </c>
      <c r="U152" s="28" t="n">
        <f aca="false">MATCH($A152,評価項目対応!$A$6:$A$236,0)</f>
        <v>146</v>
      </c>
      <c r="V152" s="28" t="str">
        <f aca="false">IFERROR(VLOOKUP(I152,$X$6:$Y$11,2,FALSE()),"")</f>
        <v/>
      </c>
    </row>
    <row r="153" customFormat="false" ht="91.5" hidden="false" customHeight="true" outlineLevel="0" collapsed="false">
      <c r="A153" s="13" t="n">
        <v>149</v>
      </c>
      <c r="B153" s="13" t="n">
        <f aca="false">INDEX(評価項目対応!$B$6:$B$236,$U153)</f>
        <v>17</v>
      </c>
      <c r="C153" s="13" t="str">
        <f aca="false">INDEX(評価項目対応!$F$6:$F$236,$U153)</f>
        <v>5.08</v>
      </c>
      <c r="D153" s="11" t="str">
        <f aca="false">INDEX(評価項目対応!$D$6:$D$236,$U153)</f>
        <v>インシデント対応</v>
      </c>
      <c r="E153" s="11" t="str">
        <f aca="false">INDEX(評価項目対応!$E$6:$E$236,$U153)</f>
        <v>サイバーインシデントのホールディングステートメント（状況がよく分か
らない中での取り敢えずのコメントや、お詫びのステートメント（文章）
を予め用意、細かい点まで説明する必要はない）を作成する。</v>
      </c>
      <c r="F153" s="13" t="str">
        <f aca="false">IF($D$4="","",$D$4)</f>
        <v/>
      </c>
      <c r="G153" s="13" t="str">
        <f aca="false">IFERROR(IF(INDEX(評価項目対応!$I$6:$I$236,$U153)="対象","対象",IF(INDEX(評価項目対応!$I$6:$I$236,$U153)="対象外（承認済）","対象外",IF(INDEX(評価項目対応!$I$6:$I$236,$U153)="未確定","n/a",""))),"")</f>
        <v>n/a</v>
      </c>
      <c r="H153" s="25" t="str">
        <f aca="false">IF(ISBLANK(J153),"",IF(J153=5,"Yes",IF(J153=4,"Yes","No")))</f>
        <v/>
      </c>
      <c r="I153" s="18"/>
      <c r="J153" s="26"/>
      <c r="K153" s="18"/>
      <c r="L153" s="18"/>
      <c r="M153" s="11" t="str">
        <f aca="false">IF(INDEX(評価項目対応!$J$6:$J$236,$U153)="","",INDEX(評価項目対応!$J$6:$J$236,$U153))</f>
        <v/>
      </c>
      <c r="N153" s="11" t="str">
        <f aca="false">IF(INDEX(評価項目対応!$N$6:$N$236,$U153)="","",INDEX(評価項目対応!$N$6:$N$236,$U153))</f>
        <v/>
      </c>
      <c r="O153" s="11" t="str">
        <f aca="false">IF(INDEX(評価項目対応!$O$6:$O$236,$U153)="","",INDEX(評価項目対応!$O$6:$O$236,$U153))</f>
        <v/>
      </c>
      <c r="P153" s="27" t="n">
        <f aca="false">COUNTIF(F153:G153,"")+COUNTIF(I153:O153,"")-IF(AND(G153="対象外",K153=""),1,0)</f>
        <v>8</v>
      </c>
      <c r="Q153" s="11" t="str">
        <f aca="false">IF(F153="","会社名コード未設定（D4）",IF(OR(G153="",G153="n/a"),"適用性を確定（評価項目対応I列）",IF(AND(G153="対象外",OR(I153&lt;&gt;"対象外",J153&lt;&gt;"n/a")),"対象外ならR=対象外・S=n/a",IF(AND(G153="対象",OR(I153="対象外",J153="n/a")),"対象なのにR／Sが対象外・n/a",IF(AND(G153="対象",OR(I153="",J153="")),"R・Sを入力",IF(AND(ISNUMBER(J153),ISNUMBER(V153),ABS(N(J153)-N(V153))&gt;=1),"RとSの乖離（案分ならUに明記）",IF(AND(G153="対象",L153=""),"Uに制約・代替策・未検証を記載",IF(AND(G153="対象外",L153=""),"対象外の理由・承認者をUに記載",IF(OR(M153="",N153="",O153=""),"V～Xを入力",IF(P153&gt;0,"未記入あり（P列）","OK"))))))))))</f>
        <v>会社名コード未設定（D4）</v>
      </c>
      <c r="R153" s="11" t="str">
        <f aca="false">IF(INDEX(評価項目対応!$M$6:$M$236,$U153)="","",INDEX(評価項目対応!$M$6:$M$236,$U153))</f>
        <v/>
      </c>
      <c r="S153" s="11" t="str">
        <f aca="false">INDEX(評価項目対応!$H$6:$H$236,$U153)</f>
        <v>社内の教育・IR・報告・承認・定期改善の規程と実績を確認する。未整備は課題化し適用除外しない。</v>
      </c>
      <c r="T153" s="11" t="str">
        <f aca="false">TRIM(IF(INDEX(評価項目対応!$K$6:$K$236,$U153)="","","試験ID: "&amp;INDEX(評価項目対応!$K$6:$K$236,$U153)&amp;"　")&amp;IF(INDEX(評価項目対応!$L$6:$L$236,$U153)="","","判断理由: "&amp;INDEX(評価項目対応!$L$6:$L$236,$U153)))</f>
        <v/>
      </c>
      <c r="U153" s="28" t="n">
        <f aca="false">MATCH($A153,評価項目対応!$A$6:$A$236,0)</f>
        <v>147</v>
      </c>
      <c r="V153" s="28" t="str">
        <f aca="false">IFERROR(VLOOKUP(I153,$X$6:$Y$11,2,FALSE()),"")</f>
        <v/>
      </c>
    </row>
    <row r="154" customFormat="false" ht="78" hidden="false" customHeight="true" outlineLevel="0" collapsed="false">
      <c r="A154" s="13" t="n">
        <v>150</v>
      </c>
      <c r="B154" s="13" t="n">
        <f aca="false">INDEX(評価項目対応!$B$6:$B$236,$U154)</f>
        <v>18</v>
      </c>
      <c r="C154" s="13" t="str">
        <f aca="false">INDEX(評価項目対応!$F$6:$F$236,$U154)</f>
        <v>5.08</v>
      </c>
      <c r="D154" s="11" t="str">
        <f aca="false">INDEX(評価項目対応!$D$6:$D$236,$U154)</f>
        <v>インシデント対応</v>
      </c>
      <c r="E154" s="11" t="str">
        <f aca="false">INDEX(評価項目対応!$E$6:$E$236,$U154)</f>
        <v>サイバーインシデント対応計画を策定するために、このガイドのランサム
ウェア対応チェックリストなどの利用可能なインシデント対応ガイダンス
を確認する。</v>
      </c>
      <c r="F154" s="13" t="str">
        <f aca="false">IF($D$4="","",$D$4)</f>
        <v/>
      </c>
      <c r="G154" s="13" t="str">
        <f aca="false">IFERROR(IF(INDEX(評価項目対応!$I$6:$I$236,$U154)="対象","対象",IF(INDEX(評価項目対応!$I$6:$I$236,$U154)="対象外（承認済）","対象外",IF(INDEX(評価項目対応!$I$6:$I$236,$U154)="未確定","n/a",""))),"")</f>
        <v>n/a</v>
      </c>
      <c r="H154" s="25" t="str">
        <f aca="false">IF(ISBLANK(J154),"",IF(J154=5,"Yes",IF(J154=4,"Yes","No")))</f>
        <v/>
      </c>
      <c r="I154" s="18"/>
      <c r="J154" s="26"/>
      <c r="K154" s="18"/>
      <c r="L154" s="18"/>
      <c r="M154" s="11" t="str">
        <f aca="false">IF(INDEX(評価項目対応!$J$6:$J$236,$U154)="","",INDEX(評価項目対応!$J$6:$J$236,$U154))</f>
        <v/>
      </c>
      <c r="N154" s="11" t="str">
        <f aca="false">IF(INDEX(評価項目対応!$N$6:$N$236,$U154)="","",INDEX(評価項目対応!$N$6:$N$236,$U154))</f>
        <v/>
      </c>
      <c r="O154" s="11" t="str">
        <f aca="false">IF(INDEX(評価項目対応!$O$6:$O$236,$U154)="","",INDEX(評価項目対応!$O$6:$O$236,$U154))</f>
        <v/>
      </c>
      <c r="P154" s="27" t="n">
        <f aca="false">COUNTIF(F154:G154,"")+COUNTIF(I154:O154,"")-IF(AND(G154="対象外",K154=""),1,0)</f>
        <v>8</v>
      </c>
      <c r="Q154" s="11" t="str">
        <f aca="false">IF(F154="","会社名コード未設定（D4）",IF(OR(G154="",G154="n/a"),"適用性を確定（評価項目対応I列）",IF(AND(G154="対象外",OR(I154&lt;&gt;"対象外",J154&lt;&gt;"n/a")),"対象外ならR=対象外・S=n/a",IF(AND(G154="対象",OR(I154="対象外",J154="n/a")),"対象なのにR／Sが対象外・n/a",IF(AND(G154="対象",OR(I154="",J154="")),"R・Sを入力",IF(AND(ISNUMBER(J154),ISNUMBER(V154),ABS(N(J154)-N(V154))&gt;=1),"RとSの乖離（案分ならUに明記）",IF(AND(G154="対象",L154=""),"Uに制約・代替策・未検証を記載",IF(AND(G154="対象外",L154=""),"対象外の理由・承認者をUに記載",IF(OR(M154="",N154="",O154=""),"V～Xを入力",IF(P154&gt;0,"未記入あり（P列）","OK"))))))))))</f>
        <v>会社名コード未設定（D4）</v>
      </c>
      <c r="R154" s="11" t="str">
        <f aca="false">IF(INDEX(評価項目対応!$M$6:$M$236,$U154)="","",INDEX(評価項目対応!$M$6:$M$236,$U154))</f>
        <v/>
      </c>
      <c r="S154" s="11" t="str">
        <f aca="false">INDEX(評価項目対応!$H$6:$H$236,$U154)</f>
        <v>社内の教育・IR・報告・承認・定期改善の規程と実績を確認する。未整備は課題化し適用除外しない。</v>
      </c>
      <c r="T154" s="11" t="str">
        <f aca="false">TRIM(IF(INDEX(評価項目対応!$K$6:$K$236,$U154)="","","試験ID: "&amp;INDEX(評価項目対応!$K$6:$K$236,$U154)&amp;"　")&amp;IF(INDEX(評価項目対応!$L$6:$L$236,$U154)="","","判断理由: "&amp;INDEX(評価項目対応!$L$6:$L$236,$U154)))</f>
        <v/>
      </c>
      <c r="U154" s="28" t="n">
        <f aca="false">MATCH($A154,評価項目対応!$A$6:$A$236,0)</f>
        <v>148</v>
      </c>
      <c r="V154" s="28" t="str">
        <f aca="false">IFERROR(VLOOKUP(I154,$X$6:$Y$11,2,FALSE()),"")</f>
        <v/>
      </c>
    </row>
    <row r="155" customFormat="false" ht="78" hidden="false" customHeight="true" outlineLevel="0" collapsed="false">
      <c r="A155" s="13" t="n">
        <v>151</v>
      </c>
      <c r="B155" s="13" t="n">
        <f aca="false">INDEX(評価項目対応!$B$6:$B$236,$U155)</f>
        <v>19</v>
      </c>
      <c r="C155" s="13" t="str">
        <f aca="false">INDEX(評価項目対応!$F$6:$F$236,$U155)</f>
        <v>5.08</v>
      </c>
      <c r="D155" s="11" t="str">
        <f aca="false">INDEX(評価項目対応!$D$6:$D$236,$U155)</f>
        <v>インシデント対応</v>
      </c>
      <c r="E155" s="11" t="str">
        <f aca="false">INDEX(評価項目対応!$E$6:$E$236,$U155)</f>
        <v>通信計画（本来の通信方式へ依存できない状態での手順、チャネル、ガイ
ドライン等）に、組織内およびパブリックとの情報共有のための組織的な
コミュニケーション手順を含める。</v>
      </c>
      <c r="F155" s="13" t="str">
        <f aca="false">IF($D$4="","",$D$4)</f>
        <v/>
      </c>
      <c r="G155" s="13" t="str">
        <f aca="false">IFERROR(IF(INDEX(評価項目対応!$I$6:$I$236,$U155)="対象","対象",IF(INDEX(評価項目対応!$I$6:$I$236,$U155)="対象外（承認済）","対象外",IF(INDEX(評価項目対応!$I$6:$I$236,$U155)="未確定","n/a",""))),"")</f>
        <v>n/a</v>
      </c>
      <c r="H155" s="25" t="str">
        <f aca="false">IF(ISBLANK(J155),"",IF(J155=5,"Yes",IF(J155=4,"Yes","No")))</f>
        <v/>
      </c>
      <c r="I155" s="18"/>
      <c r="J155" s="26"/>
      <c r="K155" s="18"/>
      <c r="L155" s="18"/>
      <c r="M155" s="11" t="str">
        <f aca="false">IF(INDEX(評価項目対応!$J$6:$J$236,$U155)="","",INDEX(評価項目対応!$J$6:$J$236,$U155))</f>
        <v/>
      </c>
      <c r="N155" s="11" t="str">
        <f aca="false">IF(INDEX(評価項目対応!$N$6:$N$236,$U155)="","",INDEX(評価項目対応!$N$6:$N$236,$U155))</f>
        <v/>
      </c>
      <c r="O155" s="11" t="str">
        <f aca="false">IF(INDEX(評価項目対応!$O$6:$O$236,$U155)="","",INDEX(評価項目対応!$O$6:$O$236,$U155))</f>
        <v/>
      </c>
      <c r="P155" s="27" t="n">
        <f aca="false">COUNTIF(F155:G155,"")+COUNTIF(I155:O155,"")-IF(AND(G155="対象外",K155=""),1,0)</f>
        <v>8</v>
      </c>
      <c r="Q155" s="11" t="str">
        <f aca="false">IF(F155="","会社名コード未設定（D4）",IF(OR(G155="",G155="n/a"),"適用性を確定（評価項目対応I列）",IF(AND(G155="対象外",OR(I155&lt;&gt;"対象外",J155&lt;&gt;"n/a")),"対象外ならR=対象外・S=n/a",IF(AND(G155="対象",OR(I155="対象外",J155="n/a")),"対象なのにR／Sが対象外・n/a",IF(AND(G155="対象",OR(I155="",J155="")),"R・Sを入力",IF(AND(ISNUMBER(J155),ISNUMBER(V155),ABS(N(J155)-N(V155))&gt;=1),"RとSの乖離（案分ならUに明記）",IF(AND(G155="対象",L155=""),"Uに制約・代替策・未検証を記載",IF(AND(G155="対象外",L155=""),"対象外の理由・承認者をUに記載",IF(OR(M155="",N155="",O155=""),"V～Xを入力",IF(P155&gt;0,"未記入あり（P列）","OK"))))))))))</f>
        <v>会社名コード未設定（D4）</v>
      </c>
      <c r="R155" s="11" t="str">
        <f aca="false">IF(INDEX(評価項目対応!$M$6:$M$236,$U155)="","",INDEX(評価項目対応!$M$6:$M$236,$U155))</f>
        <v/>
      </c>
      <c r="S155" s="11" t="str">
        <f aca="false">INDEX(評価項目対応!$H$6:$H$236,$U155)</f>
        <v>社内の教育・IR・報告・承認・定期改善の規程と実績を確認する。未整備は課題化し適用除外しない。</v>
      </c>
      <c r="T155" s="11" t="str">
        <f aca="false">TRIM(IF(INDEX(評価項目対応!$K$6:$K$236,$U155)="","","試験ID: "&amp;INDEX(評価項目対応!$K$6:$K$236,$U155)&amp;"　")&amp;IF(INDEX(評価項目対応!$L$6:$L$236,$U155)="","","判断理由: "&amp;INDEX(評価項目対応!$L$6:$L$236,$U155)))</f>
        <v/>
      </c>
      <c r="U155" s="28" t="n">
        <f aca="false">MATCH($A155,評価項目対応!$A$6:$A$236,0)</f>
        <v>149</v>
      </c>
      <c r="V155" s="28" t="str">
        <f aca="false">IFERROR(VLOOKUP(I155,$X$6:$Y$11,2,FALSE()),"")</f>
        <v/>
      </c>
    </row>
    <row r="156" customFormat="false" ht="49.5" hidden="false" customHeight="true" outlineLevel="0" collapsed="false">
      <c r="A156" s="13" t="n">
        <v>152</v>
      </c>
      <c r="B156" s="13" t="n">
        <f aca="false">INDEX(評価項目対応!$B$6:$B$236,$U156)</f>
        <v>20</v>
      </c>
      <c r="C156" s="13" t="str">
        <f aca="false">INDEX(評価項目対応!$F$6:$F$236,$U156)</f>
        <v>5.08</v>
      </c>
      <c r="D156" s="11" t="str">
        <f aca="false">INDEX(評価項目対応!$D$6:$D$236,$U156)</f>
        <v>インシデント対応</v>
      </c>
      <c r="E156" s="11" t="str">
        <f aca="false">INDEX(評価項目対応!$E$6:$E$236,$U156)</f>
        <v>通信計画に、サイバーインシデントホールディングステートメントのテン
プレートを含める。</v>
      </c>
      <c r="F156" s="13" t="str">
        <f aca="false">IF($D$4="","",$D$4)</f>
        <v/>
      </c>
      <c r="G156" s="13" t="str">
        <f aca="false">IFERROR(IF(INDEX(評価項目対応!$I$6:$I$236,$U156)="対象","対象",IF(INDEX(評価項目対応!$I$6:$I$236,$U156)="対象外（承認済）","対象外",IF(INDEX(評価項目対応!$I$6:$I$236,$U156)="未確定","n/a",""))),"")</f>
        <v>n/a</v>
      </c>
      <c r="H156" s="25" t="str">
        <f aca="false">IF(ISBLANK(J156),"",IF(J156=5,"Yes",IF(J156=4,"Yes","No")))</f>
        <v/>
      </c>
      <c r="I156" s="18"/>
      <c r="J156" s="26"/>
      <c r="K156" s="18"/>
      <c r="L156" s="18"/>
      <c r="M156" s="11" t="str">
        <f aca="false">IF(INDEX(評価項目対応!$J$6:$J$236,$U156)="","",INDEX(評価項目対応!$J$6:$J$236,$U156))</f>
        <v/>
      </c>
      <c r="N156" s="11" t="str">
        <f aca="false">IF(INDEX(評価項目対応!$N$6:$N$236,$U156)="","",INDEX(評価項目対応!$N$6:$N$236,$U156))</f>
        <v/>
      </c>
      <c r="O156" s="11" t="str">
        <f aca="false">IF(INDEX(評価項目対応!$O$6:$O$236,$U156)="","",INDEX(評価項目対応!$O$6:$O$236,$U156))</f>
        <v/>
      </c>
      <c r="P156" s="27" t="n">
        <f aca="false">COUNTIF(F156:G156,"")+COUNTIF(I156:O156,"")-IF(AND(G156="対象外",K156=""),1,0)</f>
        <v>8</v>
      </c>
      <c r="Q156" s="11" t="str">
        <f aca="false">IF(F156="","会社名コード未設定（D4）",IF(OR(G156="",G156="n/a"),"適用性を確定（評価項目対応I列）",IF(AND(G156="対象外",OR(I156&lt;&gt;"対象外",J156&lt;&gt;"n/a")),"対象外ならR=対象外・S=n/a",IF(AND(G156="対象",OR(I156="対象外",J156="n/a")),"対象なのにR／Sが対象外・n/a",IF(AND(G156="対象",OR(I156="",J156="")),"R・Sを入力",IF(AND(ISNUMBER(J156),ISNUMBER(V156),ABS(N(J156)-N(V156))&gt;=1),"RとSの乖離（案分ならUに明記）",IF(AND(G156="対象",L156=""),"Uに制約・代替策・未検証を記載",IF(AND(G156="対象外",L156=""),"対象外の理由・承認者をUに記載",IF(OR(M156="",N156="",O156=""),"V～Xを入力",IF(P156&gt;0,"未記入あり（P列）","OK"))))))))))</f>
        <v>会社名コード未設定（D4）</v>
      </c>
      <c r="R156" s="11" t="str">
        <f aca="false">IF(INDEX(評価項目対応!$M$6:$M$236,$U156)="","",INDEX(評価項目対応!$M$6:$M$236,$U156))</f>
        <v/>
      </c>
      <c r="S156" s="11" t="str">
        <f aca="false">INDEX(評価項目対応!$H$6:$H$236,$U156)</f>
        <v>社内の教育・IR・報告・承認・定期改善の規程と実績を確認する。未整備は課題化し適用除外しない。</v>
      </c>
      <c r="T156" s="11" t="str">
        <f aca="false">TRIM(IF(INDEX(評価項目対応!$K$6:$K$236,$U156)="","","試験ID: "&amp;INDEX(評価項目対応!$K$6:$K$236,$U156)&amp;"　")&amp;IF(INDEX(評価項目対応!$L$6:$L$236,$U156)="","","判断理由: "&amp;INDEX(評価項目対応!$L$6:$L$236,$U156)))</f>
        <v/>
      </c>
      <c r="U156" s="28" t="n">
        <f aca="false">MATCH($A156,評価項目対応!$A$6:$A$236,0)</f>
        <v>150</v>
      </c>
      <c r="V156" s="28" t="str">
        <f aca="false">IFERROR(VLOOKUP(I156,$X$6:$Y$11,2,FALSE()),"")</f>
        <v/>
      </c>
    </row>
    <row r="157" customFormat="false" ht="36" hidden="false" customHeight="true" outlineLevel="0" collapsed="false">
      <c r="A157" s="13" t="n">
        <v>153</v>
      </c>
      <c r="B157" s="13" t="n">
        <f aca="false">INDEX(評価項目対応!$B$6:$B$236,$U157)</f>
        <v>21</v>
      </c>
      <c r="C157" s="13" t="str">
        <f aca="false">INDEX(評価項目対応!$F$6:$F$236,$U157)</f>
        <v>5.08</v>
      </c>
      <c r="D157" s="11" t="str">
        <f aca="false">INDEX(評価項目対応!$D$6:$D$236,$U157)</f>
        <v>インシデント対応</v>
      </c>
      <c r="E157" s="11" t="str">
        <f aca="false">INDEX(評価項目対応!$E$6:$E$236,$U157)</f>
        <v>情報共有する詳細レベル、情報の流れ方について合意を得る。</v>
      </c>
      <c r="F157" s="13" t="str">
        <f aca="false">IF($D$4="","",$D$4)</f>
        <v/>
      </c>
      <c r="G157" s="13" t="str">
        <f aca="false">IFERROR(IF(INDEX(評価項目対応!$I$6:$I$236,$U157)="対象","対象",IF(INDEX(評価項目対応!$I$6:$I$236,$U157)="対象外（承認済）","対象外",IF(INDEX(評価項目対応!$I$6:$I$236,$U157)="未確定","n/a",""))),"")</f>
        <v>n/a</v>
      </c>
      <c r="H157" s="25" t="str">
        <f aca="false">IF(ISBLANK(J157),"",IF(J157=5,"Yes",IF(J157=4,"Yes","No")))</f>
        <v/>
      </c>
      <c r="I157" s="18"/>
      <c r="J157" s="26"/>
      <c r="K157" s="18"/>
      <c r="L157" s="18"/>
      <c r="M157" s="11" t="str">
        <f aca="false">IF(INDEX(評価項目対応!$J$6:$J$236,$U157)="","",INDEX(評価項目対応!$J$6:$J$236,$U157))</f>
        <v/>
      </c>
      <c r="N157" s="11" t="str">
        <f aca="false">IF(INDEX(評価項目対応!$N$6:$N$236,$U157)="","",INDEX(評価項目対応!$N$6:$N$236,$U157))</f>
        <v/>
      </c>
      <c r="O157" s="11" t="str">
        <f aca="false">IF(INDEX(評価項目対応!$O$6:$O$236,$U157)="","",INDEX(評価項目対応!$O$6:$O$236,$U157))</f>
        <v/>
      </c>
      <c r="P157" s="27" t="n">
        <f aca="false">COUNTIF(F157:G157,"")+COUNTIF(I157:O157,"")-IF(AND(G157="対象外",K157=""),1,0)</f>
        <v>8</v>
      </c>
      <c r="Q157" s="11" t="str">
        <f aca="false">IF(F157="","会社名コード未設定（D4）",IF(OR(G157="",G157="n/a"),"適用性を確定（評価項目対応I列）",IF(AND(G157="対象外",OR(I157&lt;&gt;"対象外",J157&lt;&gt;"n/a")),"対象外ならR=対象外・S=n/a",IF(AND(G157="対象",OR(I157="対象外",J157="n/a")),"対象なのにR／Sが対象外・n/a",IF(AND(G157="対象",OR(I157="",J157="")),"R・Sを入力",IF(AND(ISNUMBER(J157),ISNUMBER(V157),ABS(N(J157)-N(V157))&gt;=1),"RとSの乖離（案分ならUに明記）",IF(AND(G157="対象",L157=""),"Uに制約・代替策・未検証を記載",IF(AND(G157="対象外",L157=""),"対象外の理由・承認者をUに記載",IF(OR(M157="",N157="",O157=""),"V～Xを入力",IF(P157&gt;0,"未記入あり（P列）","OK"))))))))))</f>
        <v>会社名コード未設定（D4）</v>
      </c>
      <c r="R157" s="11" t="str">
        <f aca="false">IF(INDEX(評価項目対応!$M$6:$M$236,$U157)="","",INDEX(評価項目対応!$M$6:$M$236,$U157))</f>
        <v/>
      </c>
      <c r="S157" s="11" t="str">
        <f aca="false">INDEX(評価項目対応!$H$6:$H$236,$U157)</f>
        <v>社内の教育・IR・報告・承認・定期改善の規程と実績を確認する。未整備は課題化し適用除外しない。</v>
      </c>
      <c r="T157" s="11" t="str">
        <f aca="false">TRIM(IF(INDEX(評価項目対応!$K$6:$K$236,$U157)="","","試験ID: "&amp;INDEX(評価項目対応!$K$6:$K$236,$U157)&amp;"　")&amp;IF(INDEX(評価項目対応!$L$6:$L$236,$U157)="","","判断理由: "&amp;INDEX(評価項目対応!$L$6:$L$236,$U157)))</f>
        <v/>
      </c>
      <c r="U157" s="28" t="n">
        <f aca="false">MATCH($A157,評価項目対応!$A$6:$A$236,0)</f>
        <v>151</v>
      </c>
      <c r="V157" s="28" t="str">
        <f aca="false">IFERROR(VLOOKUP(I157,$X$6:$Y$11,2,FALSE()),"")</f>
        <v/>
      </c>
    </row>
    <row r="158" customFormat="false" ht="63.75" hidden="false" customHeight="true" outlineLevel="0" collapsed="false">
      <c r="A158" s="13" t="n">
        <v>154</v>
      </c>
      <c r="B158" s="13" t="n">
        <f aca="false">INDEX(評価項目対応!$B$6:$B$236,$U158)</f>
        <v>175</v>
      </c>
      <c r="C158" s="13" t="str">
        <f aca="false">INDEX(評価項目対応!$F$6:$F$236,$U158)</f>
        <v>5.08</v>
      </c>
      <c r="D158" s="11" t="str">
        <f aca="false">INDEX(評価項目対応!$D$6:$D$236,$U158)</f>
        <v>プロセス改善</v>
      </c>
      <c r="E158" s="11" t="str">
        <f aca="false">INDEX(評価項目対応!$E$6:$E$236,$U158)</f>
        <v>プロセスと手順が最新であり、セキュリティスタッフとエンドユーザーが
従うことができることを確認するために、定期的な評価を実施する。</v>
      </c>
      <c r="F158" s="13" t="str">
        <f aca="false">IF($D$4="","",$D$4)</f>
        <v/>
      </c>
      <c r="G158" s="13" t="str">
        <f aca="false">IFERROR(IF(INDEX(評価項目対応!$I$6:$I$236,$U158)="対象","対象",IF(INDEX(評価項目対応!$I$6:$I$236,$U158)="対象外（承認済）","対象外",IF(INDEX(評価項目対応!$I$6:$I$236,$U158)="未確定","n/a",""))),"")</f>
        <v>n/a</v>
      </c>
      <c r="H158" s="25" t="str">
        <f aca="false">IF(ISBLANK(J158),"",IF(J158=5,"Yes",IF(J158=4,"Yes","No")))</f>
        <v/>
      </c>
      <c r="I158" s="18"/>
      <c r="J158" s="26"/>
      <c r="K158" s="18"/>
      <c r="L158" s="18"/>
      <c r="M158" s="11" t="str">
        <f aca="false">IF(INDEX(評価項目対応!$J$6:$J$236,$U158)="","",INDEX(評価項目対応!$J$6:$J$236,$U158))</f>
        <v/>
      </c>
      <c r="N158" s="11" t="str">
        <f aca="false">IF(INDEX(評価項目対応!$N$6:$N$236,$U158)="","",INDEX(評価項目対応!$N$6:$N$236,$U158))</f>
        <v/>
      </c>
      <c r="O158" s="11" t="str">
        <f aca="false">IF(INDEX(評価項目対応!$O$6:$O$236,$U158)="","",INDEX(評価項目対応!$O$6:$O$236,$U158))</f>
        <v/>
      </c>
      <c r="P158" s="27" t="n">
        <f aca="false">COUNTIF(F158:G158,"")+COUNTIF(I158:O158,"")-IF(AND(G158="対象外",K158=""),1,0)</f>
        <v>8</v>
      </c>
      <c r="Q158" s="11" t="str">
        <f aca="false">IF(F158="","会社名コード未設定（D4）",IF(OR(G158="",G158="n/a"),"適用性を確定（評価項目対応I列）",IF(AND(G158="対象外",OR(I158&lt;&gt;"対象外",J158&lt;&gt;"n/a")),"対象外ならR=対象外・S=n/a",IF(AND(G158="対象",OR(I158="対象外",J158="n/a")),"対象なのにR／Sが対象外・n/a",IF(AND(G158="対象",OR(I158="",J158="")),"R・Sを入力",IF(AND(ISNUMBER(J158),ISNUMBER(V158),ABS(N(J158)-N(V158))&gt;=1),"RとSの乖離（案分ならUに明記）",IF(AND(G158="対象",L158=""),"Uに制約・代替策・未検証を記載",IF(AND(G158="対象外",L158=""),"対象外の理由・承認者をUに記載",IF(OR(M158="",N158="",O158=""),"V～Xを入力",IF(P158&gt;0,"未記入あり（P列）","OK"))))))))))</f>
        <v>会社名コード未設定（D4）</v>
      </c>
      <c r="R158" s="11" t="str">
        <f aca="false">IF(INDEX(評価項目対応!$M$6:$M$236,$U158)="","",INDEX(評価項目対応!$M$6:$M$236,$U158))</f>
        <v/>
      </c>
      <c r="S158" s="11" t="str">
        <f aca="false">INDEX(評価項目対応!$H$6:$H$236,$U158)</f>
        <v>社内の教育・IR・報告・承認・定期改善の規程と実績を確認する。未整備は課題化し適用除外しない。</v>
      </c>
      <c r="T158" s="11" t="str">
        <f aca="false">TRIM(IF(INDEX(評価項目対応!$K$6:$K$236,$U158)="","","試験ID: "&amp;INDEX(評価項目対応!$K$6:$K$236,$U158)&amp;"　")&amp;IF(INDEX(評価項目対応!$L$6:$L$236,$U158)="","","判断理由: "&amp;INDEX(評価項目対応!$L$6:$L$236,$U158)))</f>
        <v/>
      </c>
      <c r="U158" s="28" t="n">
        <f aca="false">MATCH($A158,評価項目対応!$A$6:$A$236,0)</f>
        <v>152</v>
      </c>
      <c r="V158" s="28" t="str">
        <f aca="false">IFERROR(VLOOKUP(I158,$X$6:$Y$11,2,FALSE()),"")</f>
        <v/>
      </c>
    </row>
    <row r="159" customFormat="false" ht="105.75" hidden="false" customHeight="true" outlineLevel="0" collapsed="false">
      <c r="A159" s="13" t="n">
        <v>155</v>
      </c>
      <c r="B159" s="13" t="n">
        <f aca="false">INDEX(評価項目対応!$B$6:$B$236,$U159)</f>
        <v>140</v>
      </c>
      <c r="C159" s="13" t="str">
        <f aca="false">INDEX(評価項目対応!$F$6:$F$236,$U159)</f>
        <v>3.05</v>
      </c>
      <c r="D159" s="11" t="str">
        <f aca="false">INDEX(評価項目対応!$D$6:$D$236,$U159)</f>
        <v>API管理</v>
      </c>
      <c r="E159" s="11" t="str">
        <f aca="false">INDEX(評価項目対応!$E$6:$E$236,$U159)</f>
        <v>クラウドへのカスタムプログラムによるアクセスを使用する場合、サポー
トされている場合は、リクエスタの身元を確認し、転送中のデータを保護
し、リプレイ攻撃などの他の攻撃から保護するために、署名済みAPIリク
エストを使用する。</v>
      </c>
      <c r="F159" s="13" t="str">
        <f aca="false">IF($D$4="","",$D$4)</f>
        <v/>
      </c>
      <c r="G159" s="13" t="str">
        <f aca="false">IFERROR(IF(INDEX(評価項目対応!$I$6:$I$236,$U159)="対象","対象",IF(INDEX(評価項目対応!$I$6:$I$236,$U159)="対象外（承認済）","対象外",IF(INDEX(評価項目対応!$I$6:$I$236,$U159)="未確定","n/a",""))),"")</f>
        <v>n/a</v>
      </c>
      <c r="H159" s="25" t="str">
        <f aca="false">IF(ISBLANK(J159),"",IF(J159=5,"Yes",IF(J159=4,"Yes","No")))</f>
        <v/>
      </c>
      <c r="I159" s="18"/>
      <c r="J159" s="26"/>
      <c r="K159" s="18"/>
      <c r="L159" s="18"/>
      <c r="M159" s="11" t="str">
        <f aca="false">IF(INDEX(評価項目対応!$J$6:$J$236,$U159)="","",INDEX(評価項目対応!$J$6:$J$236,$U159))</f>
        <v/>
      </c>
      <c r="N159" s="11" t="str">
        <f aca="false">IF(INDEX(評価項目対応!$N$6:$N$236,$U159)="","",INDEX(評価項目対応!$N$6:$N$236,$U159))</f>
        <v/>
      </c>
      <c r="O159" s="11" t="str">
        <f aca="false">IF(INDEX(評価項目対応!$O$6:$O$236,$U159)="","",INDEX(評価項目対応!$O$6:$O$236,$U159))</f>
        <v/>
      </c>
      <c r="P159" s="27" t="n">
        <f aca="false">COUNTIF(F159:G159,"")+COUNTIF(I159:O159,"")-IF(AND(G159="対象外",K159=""),1,0)</f>
        <v>8</v>
      </c>
      <c r="Q159" s="11" t="str">
        <f aca="false">IF(F159="","会社名コード未設定（D4）",IF(OR(G159="",G159="n/a"),"適用性を確定（評価項目対応I列）",IF(AND(G159="対象外",OR(I159&lt;&gt;"対象外",J159&lt;&gt;"n/a")),"対象外ならR=対象外・S=n/a",IF(AND(G159="対象",OR(I159="対象外",J159="n/a")),"対象なのにR／Sが対象外・n/a",IF(AND(G159="対象",OR(I159="",J159="")),"R・Sを入力",IF(AND(ISNUMBER(J159),ISNUMBER(V159),ABS(N(J159)-N(V159))&gt;=1),"RとSの乖離（案分ならUに明記）",IF(AND(G159="対象",L159=""),"Uに制約・代替策・未検証を記載",IF(AND(G159="対象外",L159=""),"対象外の理由・承認者をUに記載",IF(OR(M159="",N159="",O159=""),"V～Xを入力",IF(P159&gt;0,"未記入あり（P列）","OK"))))))))))</f>
        <v>会社名コード未設定（D4）</v>
      </c>
      <c r="R159" s="11" t="str">
        <f aca="false">IF(INDEX(評価項目対応!$M$6:$M$236,$U159)="","",INDEX(評価項目対応!$M$6:$M$236,$U159))</f>
        <v/>
      </c>
      <c r="S159" s="11" t="str">
        <f aca="false">INDEX(評価項目対応!$H$6:$H$236,$U159)</f>
        <v>カスタムAPIの利用、認証・通信保護、権限を確認する。署名付きリクエストとOAuthを同一扱いしない。</v>
      </c>
      <c r="T159" s="11" t="str">
        <f aca="false">TRIM(IF(INDEX(評価項目対応!$K$6:$K$236,$U159)="","","試験ID: "&amp;INDEX(評価項目対応!$K$6:$K$236,$U159)&amp;"　")&amp;IF(INDEX(評価項目対応!$L$6:$L$236,$U159)="","","判断理由: "&amp;INDEX(評価項目対応!$L$6:$L$236,$U159)))</f>
        <v/>
      </c>
      <c r="U159" s="28" t="n">
        <f aca="false">MATCH($A159,評価項目対応!$A$6:$A$236,0)</f>
        <v>153</v>
      </c>
      <c r="V159" s="28" t="str">
        <f aca="false">IFERROR(VLOOKUP(I159,$X$6:$Y$11,2,FALSE()),"")</f>
        <v/>
      </c>
    </row>
    <row r="160" customFormat="false" ht="49.5" hidden="false" customHeight="true" outlineLevel="0" collapsed="false">
      <c r="A160" s="13" t="n">
        <v>156</v>
      </c>
      <c r="B160" s="13" t="n">
        <f aca="false">INDEX(評価項目対応!$B$6:$B$236,$U160)</f>
        <v>200</v>
      </c>
      <c r="C160" s="13" t="str">
        <f aca="false">INDEX(評価項目対応!$F$6:$F$236,$U160)</f>
        <v>5.07a</v>
      </c>
      <c r="D160" s="11" t="str">
        <f aca="false">INDEX(評価項目対応!$D$6:$D$236,$U160)</f>
        <v>C&amp;C調査</v>
      </c>
      <c r="E160" s="11" t="str">
        <f aca="false">INDEX(評価項目対応!$E$6:$E$236,$U160)</f>
        <v>Cobalt Strikeビーコン/クライアントの存在の兆候を確認する。</v>
      </c>
      <c r="F160" s="13" t="str">
        <f aca="false">IF($D$4="","",$D$4)</f>
        <v/>
      </c>
      <c r="G160" s="13" t="str">
        <f aca="false">IFERROR(IF(INDEX(評価項目対応!$I$6:$I$236,$U160)="対象","対象",IF(INDEX(評価項目対応!$I$6:$I$236,$U160)="対象外（承認済）","対象外",IF(INDEX(評価項目対応!$I$6:$I$236,$U160)="未確定","n/a",""))),"")</f>
        <v>n/a</v>
      </c>
      <c r="H160" s="25" t="str">
        <f aca="false">IF(ISBLANK(J160),"",IF(J160=5,"Yes",IF(J160=4,"Yes","No")))</f>
        <v/>
      </c>
      <c r="I160" s="18"/>
      <c r="J160" s="26"/>
      <c r="K160" s="18"/>
      <c r="L160" s="18"/>
      <c r="M160" s="11" t="str">
        <f aca="false">IF(INDEX(評価項目対応!$J$6:$J$236,$U160)="","",INDEX(評価項目対応!$J$6:$J$236,$U160))</f>
        <v/>
      </c>
      <c r="N160" s="11" t="str">
        <f aca="false">IF(INDEX(評価項目対応!$N$6:$N$236,$U160)="","",INDEX(評価項目対応!$N$6:$N$236,$U160))</f>
        <v/>
      </c>
      <c r="O160" s="11" t="str">
        <f aca="false">IF(INDEX(評価項目対応!$O$6:$O$236,$U160)="","",INDEX(評価項目対応!$O$6:$O$236,$U160))</f>
        <v/>
      </c>
      <c r="P160" s="27" t="n">
        <f aca="false">COUNTIF(F160:G160,"")+COUNTIF(I160:O160,"")-IF(AND(G160="対象外",K160=""),1,0)</f>
        <v>8</v>
      </c>
      <c r="Q160" s="11" t="str">
        <f aca="false">IF(F160="","会社名コード未設定（D4）",IF(OR(G160="",G160="n/a"),"適用性を確定（評価項目対応I列）",IF(AND(G160="対象外",OR(I160&lt;&gt;"対象外",J160&lt;&gt;"n/a")),"対象外ならR=対象外・S=n/a",IF(AND(G160="対象",OR(I160="対象外",J160="n/a")),"対象なのにR／Sが対象外・n/a",IF(AND(G160="対象",OR(I160="",J160="")),"R・Sを入力",IF(AND(ISNUMBER(J160),ISNUMBER(V160),ABS(N(J160)-N(V160))&gt;=1),"RとSの乖離（案分ならUに明記）",IF(AND(G160="対象",L160=""),"Uに制約・代替策・未検証を記載",IF(AND(G160="対象外",L160=""),"対象外の理由・承認者をUに記載",IF(OR(M160="",N160="",O160=""),"V～Xを入力",IF(P160&gt;0,"未記入あり（P列）","OK"))))))))))</f>
        <v>会社名コード未設定（D4）</v>
      </c>
      <c r="R160" s="11" t="str">
        <f aca="false">IF(INDEX(評価項目対応!$M$6:$M$236,$U160)="","",INDEX(評価項目対応!$M$6:$M$236,$U160))</f>
        <v/>
      </c>
      <c r="S160" s="11" t="str">
        <f aca="false">INDEX(評価項目対応!$H$6:$H$236,$U160)</f>
        <v>既存IR手順・演習記録の該当箇所とChromeOS／クラウドの役割を確認する。新規の全社演習は設けず、不足は責任者へ課題化する。</v>
      </c>
      <c r="T160" s="11" t="str">
        <f aca="false">TRIM(IF(INDEX(評価項目対応!$K$6:$K$236,$U160)="","","試験ID: "&amp;INDEX(評価項目対応!$K$6:$K$236,$U160)&amp;"　")&amp;IF(INDEX(評価項目対応!$L$6:$L$236,$U160)="","","判断理由: "&amp;INDEX(評価項目対応!$L$6:$L$236,$U160)))</f>
        <v/>
      </c>
      <c r="U160" s="28" t="n">
        <f aca="false">MATCH($A160,評価項目対応!$A$6:$A$236,0)</f>
        <v>154</v>
      </c>
      <c r="V160" s="28" t="str">
        <f aca="false">IFERROR(VLOOKUP(I160,$X$6:$Y$11,2,FALSE()),"")</f>
        <v/>
      </c>
    </row>
    <row r="161" customFormat="false" ht="78" hidden="false" customHeight="true" outlineLevel="0" collapsed="false">
      <c r="A161" s="13" t="n">
        <v>157</v>
      </c>
      <c r="B161" s="13" t="n">
        <f aca="false">INDEX(評価項目対応!$B$6:$B$236,$U161)</f>
        <v>148</v>
      </c>
      <c r="C161" s="13" t="str">
        <f aca="false">INDEX(評価項目対応!$F$6:$F$236,$U161)</f>
        <v>4.04a</v>
      </c>
      <c r="D161" s="11" t="str">
        <f aca="false">INDEX(評価項目対応!$D$6:$D$236,$U161)</f>
        <v>PowerShellの管理</v>
      </c>
      <c r="E161" s="11" t="str">
        <f aca="false">INDEX(評価項目対応!$E$6:$E$236,$U161)</f>
        <v>最新バージョンを使用するPowerShellインスタンスで、モジュール、スク
リプトブロック、トランスクリプションロギングを有効にする（拡張ロギ
ング）。</v>
      </c>
      <c r="F161" s="13" t="str">
        <f aca="false">IF($D$4="","",$D$4)</f>
        <v/>
      </c>
      <c r="G161" s="13" t="str">
        <f aca="false">IFERROR(IF(INDEX(評価項目対応!$I$6:$I$236,$U161)="対象","対象",IF(INDEX(評価項目対応!$I$6:$I$236,$U161)="対象外（承認済）","対象外",IF(INDEX(評価項目対応!$I$6:$I$236,$U161)="未確定","n/a",""))),"")</f>
        <v>n/a</v>
      </c>
      <c r="H161" s="25" t="str">
        <f aca="false">IF(ISBLANK(J161),"",IF(J161=5,"Yes",IF(J161=4,"Yes","No")))</f>
        <v/>
      </c>
      <c r="I161" s="18"/>
      <c r="J161" s="26"/>
      <c r="K161" s="18"/>
      <c r="L161" s="18"/>
      <c r="M161" s="11" t="str">
        <f aca="false">IF(INDEX(評価項目対応!$J$6:$J$236,$U161)="","",INDEX(評価項目対応!$J$6:$J$236,$U161))</f>
        <v/>
      </c>
      <c r="N161" s="11" t="str">
        <f aca="false">IF(INDEX(評価項目対応!$N$6:$N$236,$U161)="","",INDEX(評価項目対応!$N$6:$N$236,$U161))</f>
        <v/>
      </c>
      <c r="O161" s="11" t="str">
        <f aca="false">IF(INDEX(評価項目対応!$O$6:$O$236,$U161)="","",INDEX(評価項目対応!$O$6:$O$236,$U161))</f>
        <v/>
      </c>
      <c r="P161" s="27" t="n">
        <f aca="false">COUNTIF(F161:G161,"")+COUNTIF(I161:O161,"")-IF(AND(G161="対象外",K161=""),1,0)</f>
        <v>8</v>
      </c>
      <c r="Q161" s="11" t="str">
        <f aca="false">IF(F161="","会社名コード未設定（D4）",IF(OR(G161="",G161="n/a"),"適用性を確定（評価項目対応I列）",IF(AND(G161="対象外",OR(I161&lt;&gt;"対象外",J161&lt;&gt;"n/a")),"対象外ならR=対象外・S=n/a",IF(AND(G161="対象",OR(I161="対象外",J161="n/a")),"対象なのにR／Sが対象外・n/a",IF(AND(G161="対象",OR(I161="",J161="")),"R・Sを入力",IF(AND(ISNUMBER(J161),ISNUMBER(V161),ABS(N(J161)-N(V161))&gt;=1),"RとSの乖離（案分ならUに明記）",IF(AND(G161="対象",L161=""),"Uに制約・代替策・未検証を記載",IF(AND(G161="対象外",L161=""),"対象外の理由・承認者をUに記載",IF(OR(M161="",N161="",O161=""),"V～Xを入力",IF(P161&gt;0,"未記入あり（P列）","OK"))))))))))</f>
        <v>会社名コード未設定（D4）</v>
      </c>
      <c r="R161" s="11" t="str">
        <f aca="false">IF(INDEX(評価項目対応!$M$6:$M$236,$U161)="","",INDEX(評価項目対応!$M$6:$M$236,$U161))</f>
        <v/>
      </c>
      <c r="S161" s="11" t="str">
        <f aca="false">INDEX(評価項目対応!$H$6:$H$236,$U161)</f>
        <v>Windows固有の要件（PowerShell、LSASS、資格情報保護等）。ChromeOS端末は非該当だが、接続先のAD／Windows環境に適用し得るため既存証跡を確認する。対象外にする場合は理由と承認者を記録する。</v>
      </c>
      <c r="T161" s="11" t="str">
        <f aca="false">TRIM(IF(INDEX(評価項目対応!$K$6:$K$236,$U161)="","","試験ID: "&amp;INDEX(評価項目対応!$K$6:$K$236,$U161)&amp;"　")&amp;IF(INDEX(評価項目対応!$L$6:$L$236,$U161)="","","判断理由: "&amp;INDEX(評価項目対応!$L$6:$L$236,$U161)))</f>
        <v/>
      </c>
      <c r="U161" s="28" t="n">
        <f aca="false">MATCH($A161,評価項目対応!$A$6:$A$236,0)</f>
        <v>155</v>
      </c>
      <c r="V161" s="28" t="str">
        <f aca="false">IFERROR(VLOOKUP(I161,$X$6:$Y$11,2,FALSE()),"")</f>
        <v/>
      </c>
    </row>
    <row r="162" customFormat="false" ht="78" hidden="false" customHeight="true" outlineLevel="0" collapsed="false">
      <c r="A162" s="13" t="n">
        <v>158</v>
      </c>
      <c r="B162" s="13" t="n">
        <f aca="false">INDEX(評価項目対応!$B$6:$B$236,$U162)</f>
        <v>149</v>
      </c>
      <c r="C162" s="13" t="str">
        <f aca="false">INDEX(評価項目対応!$F$6:$F$236,$U162)</f>
        <v>4.04a</v>
      </c>
      <c r="D162" s="11" t="str">
        <f aca="false">INDEX(評価項目対応!$D$6:$D$236,$U162)</f>
        <v>PowerShellの管理</v>
      </c>
      <c r="E162" s="11" t="str">
        <f aca="false">INDEX(評価項目対応!$E$6:$E$236,$U162)</f>
        <v>少なくとも13カ月の保持期間で、「PowerShell Windows Event」ログと「
PowerShell Operational」ログの2つのWindowsイベントログをオンにする
。</v>
      </c>
      <c r="F162" s="13" t="str">
        <f aca="false">IF($D$4="","",$D$4)</f>
        <v/>
      </c>
      <c r="G162" s="13" t="str">
        <f aca="false">IFERROR(IF(INDEX(評価項目対応!$I$6:$I$236,$U162)="対象","対象",IF(INDEX(評価項目対応!$I$6:$I$236,$U162)="対象外（承認済）","対象外",IF(INDEX(評価項目対応!$I$6:$I$236,$U162)="未確定","n/a",""))),"")</f>
        <v>n/a</v>
      </c>
      <c r="H162" s="25" t="str">
        <f aca="false">IF(ISBLANK(J162),"",IF(J162=5,"Yes",IF(J162=4,"Yes","No")))</f>
        <v/>
      </c>
      <c r="I162" s="18"/>
      <c r="J162" s="26"/>
      <c r="K162" s="18"/>
      <c r="L162" s="18"/>
      <c r="M162" s="11" t="str">
        <f aca="false">IF(INDEX(評価項目対応!$J$6:$J$236,$U162)="","",INDEX(評価項目対応!$J$6:$J$236,$U162))</f>
        <v/>
      </c>
      <c r="N162" s="11" t="str">
        <f aca="false">IF(INDEX(評価項目対応!$N$6:$N$236,$U162)="","",INDEX(評価項目対応!$N$6:$N$236,$U162))</f>
        <v/>
      </c>
      <c r="O162" s="11" t="str">
        <f aca="false">IF(INDEX(評価項目対応!$O$6:$O$236,$U162)="","",INDEX(評価項目対応!$O$6:$O$236,$U162))</f>
        <v/>
      </c>
      <c r="P162" s="27" t="n">
        <f aca="false">COUNTIF(F162:G162,"")+COUNTIF(I162:O162,"")-IF(AND(G162="対象外",K162=""),1,0)</f>
        <v>8</v>
      </c>
      <c r="Q162" s="11" t="str">
        <f aca="false">IF(F162="","会社名コード未設定（D4）",IF(OR(G162="",G162="n/a"),"適用性を確定（評価項目対応I列）",IF(AND(G162="対象外",OR(I162&lt;&gt;"対象外",J162&lt;&gt;"n/a")),"対象外ならR=対象外・S=n/a",IF(AND(G162="対象",OR(I162="対象外",J162="n/a")),"対象なのにR／Sが対象外・n/a",IF(AND(G162="対象",OR(I162="",J162="")),"R・Sを入力",IF(AND(ISNUMBER(J162),ISNUMBER(V162),ABS(N(J162)-N(V162))&gt;=1),"RとSの乖離（案分ならUに明記）",IF(AND(G162="対象",L162=""),"Uに制約・代替策・未検証を記載",IF(AND(G162="対象外",L162=""),"対象外の理由・承認者をUに記載",IF(OR(M162="",N162="",O162=""),"V～Xを入力",IF(P162&gt;0,"未記入あり（P列）","OK"))))))))))</f>
        <v>会社名コード未設定（D4）</v>
      </c>
      <c r="R162" s="11" t="str">
        <f aca="false">IF(INDEX(評価項目対応!$M$6:$M$236,$U162)="","",INDEX(評価項目対応!$M$6:$M$236,$U162))</f>
        <v/>
      </c>
      <c r="S162" s="11" t="str">
        <f aca="false">INDEX(評価項目対応!$H$6:$H$236,$U162)</f>
        <v>Windows固有の要件（PowerShell、LSASS、資格情報保護等）。ChromeOS端末は非該当だが、接続先のAD／Windows環境に適用し得るため既存証跡を確認する。対象外にする場合は理由と承認者を記録する。</v>
      </c>
      <c r="T162" s="11" t="str">
        <f aca="false">TRIM(IF(INDEX(評価項目対応!$K$6:$K$236,$U162)="","","試験ID: "&amp;INDEX(評価項目対応!$K$6:$K$236,$U162)&amp;"　")&amp;IF(INDEX(評価項目対応!$L$6:$L$236,$U162)="","","判断理由: "&amp;INDEX(評価項目対応!$L$6:$L$236,$U162)))</f>
        <v/>
      </c>
      <c r="U162" s="28" t="n">
        <f aca="false">MATCH($A162,評価項目対応!$A$6:$A$236,0)</f>
        <v>156</v>
      </c>
      <c r="V162" s="28" t="str">
        <f aca="false">IFERROR(VLOOKUP(I162,$X$6:$Y$11,2,FALSE()),"")</f>
        <v/>
      </c>
    </row>
    <row r="163" customFormat="false" ht="63.75" hidden="false" customHeight="true" outlineLevel="0" collapsed="false">
      <c r="A163" s="13" t="n">
        <v>159</v>
      </c>
      <c r="B163" s="13" t="n">
        <f aca="false">INDEX(評価項目対応!$B$6:$B$236,$U163)</f>
        <v>150</v>
      </c>
      <c r="C163" s="13" t="str">
        <f aca="false">INDEX(評価項目対応!$F$6:$F$236,$U163)</f>
        <v>4.04a</v>
      </c>
      <c r="D163" s="11" t="str">
        <f aca="false">INDEX(評価項目対応!$D$6:$D$236,$U163)</f>
        <v>PowerShellの管理</v>
      </c>
      <c r="E163" s="11" t="str">
        <f aca="false">INDEX(評価項目対応!$E$6:$E$236,$U163)</f>
        <v>PowerShell logsを1か月に1回チェックして、ログデータが削除されたか
どうか、またはロギングがオフになったかどうかを確認する。</v>
      </c>
      <c r="F163" s="13" t="str">
        <f aca="false">IF($D$4="","",$D$4)</f>
        <v/>
      </c>
      <c r="G163" s="13" t="str">
        <f aca="false">IFERROR(IF(INDEX(評価項目対応!$I$6:$I$236,$U163)="対象","対象",IF(INDEX(評価項目対応!$I$6:$I$236,$U163)="対象外（承認済）","対象外",IF(INDEX(評価項目対応!$I$6:$I$236,$U163)="未確定","n/a",""))),"")</f>
        <v>n/a</v>
      </c>
      <c r="H163" s="25" t="str">
        <f aca="false">IF(ISBLANK(J163),"",IF(J163=5,"Yes",IF(J163=4,"Yes","No")))</f>
        <v/>
      </c>
      <c r="I163" s="18"/>
      <c r="J163" s="26"/>
      <c r="K163" s="18"/>
      <c r="L163" s="18"/>
      <c r="M163" s="11" t="str">
        <f aca="false">IF(INDEX(評価項目対応!$J$6:$J$236,$U163)="","",INDEX(評価項目対応!$J$6:$J$236,$U163))</f>
        <v/>
      </c>
      <c r="N163" s="11" t="str">
        <f aca="false">IF(INDEX(評価項目対応!$N$6:$N$236,$U163)="","",INDEX(評価項目対応!$N$6:$N$236,$U163))</f>
        <v/>
      </c>
      <c r="O163" s="11" t="str">
        <f aca="false">IF(INDEX(評価項目対応!$O$6:$O$236,$U163)="","",INDEX(評価項目対応!$O$6:$O$236,$U163))</f>
        <v/>
      </c>
      <c r="P163" s="27" t="n">
        <f aca="false">COUNTIF(F163:G163,"")+COUNTIF(I163:O163,"")-IF(AND(G163="対象外",K163=""),1,0)</f>
        <v>8</v>
      </c>
      <c r="Q163" s="11" t="str">
        <f aca="false">IF(F163="","会社名コード未設定（D4）",IF(OR(G163="",G163="n/a"),"適用性を確定（評価項目対応I列）",IF(AND(G163="対象外",OR(I163&lt;&gt;"対象外",J163&lt;&gt;"n/a")),"対象外ならR=対象外・S=n/a",IF(AND(G163="対象",OR(I163="対象外",J163="n/a")),"対象なのにR／Sが対象外・n/a",IF(AND(G163="対象",OR(I163="",J163="")),"R・Sを入力",IF(AND(ISNUMBER(J163),ISNUMBER(V163),ABS(N(J163)-N(V163))&gt;=1),"RとSの乖離（案分ならUに明記）",IF(AND(G163="対象",L163=""),"Uに制約・代替策・未検証を記載",IF(AND(G163="対象外",L163=""),"対象外の理由・承認者をUに記載",IF(OR(M163="",N163="",O163=""),"V～Xを入力",IF(P163&gt;0,"未記入あり（P列）","OK"))))))))))</f>
        <v>会社名コード未設定（D4）</v>
      </c>
      <c r="R163" s="11" t="str">
        <f aca="false">IF(INDEX(評価項目対応!$M$6:$M$236,$U163)="","",INDEX(評価項目対応!$M$6:$M$236,$U163))</f>
        <v/>
      </c>
      <c r="S163" s="11" t="str">
        <f aca="false">INDEX(評価項目対応!$H$6:$H$236,$U163)</f>
        <v>Windows固有の要件（PowerShell、LSASS、資格情報保護等）。ChromeOS端末は非該当だが、接続先のAD／Windows環境に適用し得るため既存証跡を確認する。対象外にする場合は理由と承認者を記録する。</v>
      </c>
      <c r="T163" s="11" t="str">
        <f aca="false">TRIM(IF(INDEX(評価項目対応!$K$6:$K$236,$U163)="","","試験ID: "&amp;INDEX(評価項目対応!$K$6:$K$236,$U163)&amp;"　")&amp;IF(INDEX(評価項目対応!$L$6:$L$236,$U163)="","","判断理由: "&amp;INDEX(評価項目対応!$L$6:$L$236,$U163)))</f>
        <v/>
      </c>
      <c r="U163" s="28" t="n">
        <f aca="false">MATCH($A163,評価項目対応!$A$6:$A$236,0)</f>
        <v>157</v>
      </c>
      <c r="V163" s="28" t="str">
        <f aca="false">IFERROR(VLOOKUP(I163,$X$6:$Y$11,2,FALSE()),"")</f>
        <v/>
      </c>
    </row>
    <row r="164" customFormat="false" ht="63.75" hidden="false" customHeight="true" outlineLevel="0" collapsed="false">
      <c r="A164" s="13" t="n">
        <v>160</v>
      </c>
      <c r="B164" s="13" t="n">
        <f aca="false">INDEX(評価項目対応!$B$6:$B$236,$U164)</f>
        <v>151</v>
      </c>
      <c r="C164" s="13" t="str">
        <f aca="false">INDEX(評価項目対応!$F$6:$F$236,$U164)</f>
        <v>4.04a</v>
      </c>
      <c r="D164" s="11" t="str">
        <f aca="false">INDEX(評価項目対応!$D$6:$D$236,$U164)</f>
        <v>PowerShellの管理</v>
      </c>
      <c r="E164" s="11" t="str">
        <f aca="false">INDEX(評価項目対応!$E$6:$E$236,$U164)</f>
        <v>「PowerShell Windows Event」ログと「PowerShell Operational」ログ、
両方のログで許可されるストレージサイズをできるだけ大きく設定する。</v>
      </c>
      <c r="F164" s="13" t="str">
        <f aca="false">IF($D$4="","",$D$4)</f>
        <v/>
      </c>
      <c r="G164" s="13" t="str">
        <f aca="false">IFERROR(IF(INDEX(評価項目対応!$I$6:$I$236,$U164)="対象","対象",IF(INDEX(評価項目対応!$I$6:$I$236,$U164)="対象外（承認済）","対象外",IF(INDEX(評価項目対応!$I$6:$I$236,$U164)="未確定","n/a",""))),"")</f>
        <v>n/a</v>
      </c>
      <c r="H164" s="25" t="str">
        <f aca="false">IF(ISBLANK(J164),"",IF(J164=5,"Yes",IF(J164=4,"Yes","No")))</f>
        <v/>
      </c>
      <c r="I164" s="18"/>
      <c r="J164" s="26"/>
      <c r="K164" s="18"/>
      <c r="L164" s="18"/>
      <c r="M164" s="11" t="str">
        <f aca="false">IF(INDEX(評価項目対応!$J$6:$J$236,$U164)="","",INDEX(評価項目対応!$J$6:$J$236,$U164))</f>
        <v/>
      </c>
      <c r="N164" s="11" t="str">
        <f aca="false">IF(INDEX(評価項目対応!$N$6:$N$236,$U164)="","",INDEX(評価項目対応!$N$6:$N$236,$U164))</f>
        <v/>
      </c>
      <c r="O164" s="11" t="str">
        <f aca="false">IF(INDEX(評価項目対応!$O$6:$O$236,$U164)="","",INDEX(評価項目対応!$O$6:$O$236,$U164))</f>
        <v/>
      </c>
      <c r="P164" s="27" t="n">
        <f aca="false">COUNTIF(F164:G164,"")+COUNTIF(I164:O164,"")-IF(AND(G164="対象外",K164=""),1,0)</f>
        <v>8</v>
      </c>
      <c r="Q164" s="11" t="str">
        <f aca="false">IF(F164="","会社名コード未設定（D4）",IF(OR(G164="",G164="n/a"),"適用性を確定（評価項目対応I列）",IF(AND(G164="対象外",OR(I164&lt;&gt;"対象外",J164&lt;&gt;"n/a")),"対象外ならR=対象外・S=n/a",IF(AND(G164="対象",OR(I164="対象外",J164="n/a")),"対象なのにR／Sが対象外・n/a",IF(AND(G164="対象",OR(I164="",J164="")),"R・Sを入力",IF(AND(ISNUMBER(J164),ISNUMBER(V164),ABS(N(J164)-N(V164))&gt;=1),"RとSの乖離（案分ならUに明記）",IF(AND(G164="対象",L164=""),"Uに制約・代替策・未検証を記載",IF(AND(G164="対象外",L164=""),"対象外の理由・承認者をUに記載",IF(OR(M164="",N164="",O164=""),"V～Xを入力",IF(P164&gt;0,"未記入あり（P列）","OK"))))))))))</f>
        <v>会社名コード未設定（D4）</v>
      </c>
      <c r="R164" s="11" t="str">
        <f aca="false">IF(INDEX(評価項目対応!$M$6:$M$236,$U164)="","",INDEX(評価項目対応!$M$6:$M$236,$U164))</f>
        <v/>
      </c>
      <c r="S164" s="11" t="str">
        <f aca="false">INDEX(評価項目対応!$H$6:$H$236,$U164)</f>
        <v>Windows固有の要件（PowerShell、LSASS、資格情報保護等）。ChromeOS端末は非該当だが、接続先のAD／Windows環境に適用し得るため既存証跡を確認する。対象外にする場合は理由と承認者を記録する。</v>
      </c>
      <c r="T164" s="11" t="str">
        <f aca="false">TRIM(IF(INDEX(評価項目対応!$K$6:$K$236,$U164)="","","試験ID: "&amp;INDEX(評価項目対応!$K$6:$K$236,$U164)&amp;"　")&amp;IF(INDEX(評価項目対応!$L$6:$L$236,$U164)="","","判断理由: "&amp;INDEX(評価項目対応!$L$6:$L$236,$U164)))</f>
        <v/>
      </c>
      <c r="U164" s="28" t="n">
        <f aca="false">MATCH($A164,評価項目対応!$A$6:$A$236,0)</f>
        <v>158</v>
      </c>
      <c r="V164" s="28" t="str">
        <f aca="false">IFERROR(VLOOKUP(I164,$X$6:$Y$11,2,FALSE()),"")</f>
        <v/>
      </c>
    </row>
    <row r="165" customFormat="false" ht="91.5" hidden="false" customHeight="true" outlineLevel="0" collapsed="false">
      <c r="A165" s="13" t="n">
        <v>161</v>
      </c>
      <c r="B165" s="13" t="n">
        <f aca="false">INDEX(評価項目対応!$B$6:$B$236,$U165)</f>
        <v>141</v>
      </c>
      <c r="C165" s="13" t="str">
        <f aca="false">INDEX(評価項目対応!$F$6:$F$236,$U165)</f>
        <v>4.04c</v>
      </c>
      <c r="D165" s="11" t="str">
        <f aca="false">INDEX(評価項目対応!$D$6:$D$236,$U165)</f>
        <v>RMM管理</v>
      </c>
      <c r="E165" s="11" t="str">
        <f aca="false">INDEX(評価項目対応!$E$6:$E$236,$U165)</f>
        <v>ネットワーク上の承認済みリモートアクセスツール（RMM）を特定し、そ
の使用状況を監視・制御する。</v>
      </c>
      <c r="F165" s="13" t="str">
        <f aca="false">IF($D$4="","",$D$4)</f>
        <v/>
      </c>
      <c r="G165" s="13" t="str">
        <f aca="false">IFERROR(IF(INDEX(評価項目対応!$I$6:$I$236,$U165)="対象","対象",IF(INDEX(評価項目対応!$I$6:$I$236,$U165)="対象外（承認済）","対象外",IF(INDEX(評価項目対応!$I$6:$I$236,$U165)="未確定","n/a",""))),"")</f>
        <v>n/a</v>
      </c>
      <c r="H165" s="25" t="str">
        <f aca="false">IF(ISBLANK(J165),"",IF(J165=5,"Yes",IF(J165=4,"Yes","No")))</f>
        <v/>
      </c>
      <c r="I165" s="18"/>
      <c r="J165" s="26"/>
      <c r="K165" s="18"/>
      <c r="L165" s="18"/>
      <c r="M165" s="11" t="str">
        <f aca="false">IF(INDEX(評価項目対応!$J$6:$J$236,$U165)="","",INDEX(評価項目対応!$J$6:$J$236,$U165))</f>
        <v/>
      </c>
      <c r="N165" s="11" t="str">
        <f aca="false">IF(INDEX(評価項目対応!$N$6:$N$236,$U165)="","",INDEX(評価項目対応!$N$6:$N$236,$U165))</f>
        <v/>
      </c>
      <c r="O165" s="11" t="str">
        <f aca="false">IF(INDEX(評価項目対応!$O$6:$O$236,$U165)="","",INDEX(評価項目対応!$O$6:$O$236,$U165))</f>
        <v/>
      </c>
      <c r="P165" s="27" t="n">
        <f aca="false">COUNTIF(F165:G165,"")+COUNTIF(I165:O165,"")-IF(AND(G165="対象外",K165=""),1,0)</f>
        <v>8</v>
      </c>
      <c r="Q165" s="11" t="str">
        <f aca="false">IF(F165="","会社名コード未設定（D4）",IF(OR(G165="",G165="n/a"),"適用性を確定（評価項目対応I列）",IF(AND(G165="対象外",OR(I165&lt;&gt;"対象外",J165&lt;&gt;"n/a")),"対象外ならR=対象外・S=n/a",IF(AND(G165="対象",OR(I165="対象外",J165="n/a")),"対象なのにR／Sが対象外・n/a",IF(AND(G165="対象",OR(I165="",J165="")),"R・Sを入力",IF(AND(ISNUMBER(J165),ISNUMBER(V165),ABS(N(J165)-N(V165))&gt;=1),"RとSの乖離（案分ならUに明記）",IF(AND(G165="対象",L165=""),"Uに制約・代替策・未検証を記載",IF(AND(G165="対象外",L165=""),"対象外の理由・承認者をUに記載",IF(OR(M165="",N165="",O165=""),"V～Xを入力",IF(P165&gt;0,"未記入あり（P列）","OK"))))))))))</f>
        <v>会社名コード未設定（D4）</v>
      </c>
      <c r="R165" s="11" t="str">
        <f aca="false">IF(INDEX(評価項目対応!$M$6:$M$236,$U165)="","",INDEX(評価項目対応!$M$6:$M$236,$U165))</f>
        <v>3.03, 3.04</v>
      </c>
      <c r="S165" s="11" t="str">
        <f aca="false">INDEX(評価項目対応!$H$6:$H$236,$U165)</f>
        <v>VDI・RDP・リモート環境・RMM・公開サービスの既存証跡を受領する。端末側のリモートアクセス系ツール（拡張・Android・Chrome Remote Desktop）の制御は3.03／3.04で確認する。 端末側のリモートアクセス系ツール（拡張・PWA・Androidアプリ・Chrome Remote Desktop）の制御（3.03／3.04）も根拠にする。</v>
      </c>
      <c r="T165" s="11" t="str">
        <f aca="false">TRIM(IF(INDEX(評価項目対応!$K$6:$K$236,$U165)="","","試験ID: "&amp;INDEX(評価項目対応!$K$6:$K$236,$U165)&amp;"　")&amp;IF(INDEX(評価項目対応!$L$6:$L$236,$U165)="","","判断理由: "&amp;INDEX(評価項目対応!$L$6:$L$236,$U165)))</f>
        <v/>
      </c>
      <c r="U165" s="28" t="n">
        <f aca="false">MATCH($A165,評価項目対応!$A$6:$A$236,0)</f>
        <v>159</v>
      </c>
      <c r="V165" s="28" t="str">
        <f aca="false">IFERROR(VLOOKUP(I165,$X$6:$Y$11,2,FALSE()),"")</f>
        <v/>
      </c>
    </row>
    <row r="166" customFormat="false" ht="120" hidden="false" customHeight="true" outlineLevel="0" collapsed="false">
      <c r="A166" s="13" t="n">
        <v>162</v>
      </c>
      <c r="B166" s="13" t="n">
        <f aca="false">INDEX(評価項目対応!$B$6:$B$236,$U166)</f>
        <v>110</v>
      </c>
      <c r="C166" s="13" t="str">
        <f aca="false">INDEX(評価項目対応!$F$6:$F$236,$U166)</f>
        <v>4.04d</v>
      </c>
      <c r="D166" s="11" t="str">
        <f aca="false">INDEX(評価項目対応!$D$6:$D$236,$U166)</f>
        <v>アンチマルウェアの運
用</v>
      </c>
      <c r="E166" s="11" t="str">
        <f aca="false">INDEX(評価項目対応!$E$6:$E$236,$U166)</f>
        <v>Windows Sysmonユーティリティを使用して、マルウェアファイルの作成を
監視およびブロックする。 （Sysmon 14以降では、FileBlockExecutable
オプションを使用して、特定のハッシュ値に一致する悪意のある実行可能
ファイル、ダイナミックリンクライブラリ（DLL）ファイル、およびシス
テムファイルの作成をブロックできる。）</v>
      </c>
      <c r="F166" s="13" t="str">
        <f aca="false">IF($D$4="","",$D$4)</f>
        <v/>
      </c>
      <c r="G166" s="13" t="str">
        <f aca="false">IFERROR(IF(INDEX(評価項目対応!$I$6:$I$236,$U166)="対象","対象",IF(INDEX(評価項目対応!$I$6:$I$236,$U166)="対象外（承認済）","対象外",IF(INDEX(評価項目対応!$I$6:$I$236,$U166)="未確定","n/a",""))),"")</f>
        <v>n/a</v>
      </c>
      <c r="H166" s="25" t="str">
        <f aca="false">IF(ISBLANK(J166),"",IF(J166=5,"Yes",IF(J166=4,"Yes","No")))</f>
        <v/>
      </c>
      <c r="I166" s="18"/>
      <c r="J166" s="26"/>
      <c r="K166" s="18"/>
      <c r="L166" s="18"/>
      <c r="M166" s="11" t="str">
        <f aca="false">IF(INDEX(評価項目対応!$J$6:$J$236,$U166)="","",INDEX(評価項目対応!$J$6:$J$236,$U166))</f>
        <v/>
      </c>
      <c r="N166" s="11" t="str">
        <f aca="false">IF(INDEX(評価項目対応!$N$6:$N$236,$U166)="","",INDEX(評価項目対応!$N$6:$N$236,$U166))</f>
        <v/>
      </c>
      <c r="O166" s="11" t="str">
        <f aca="false">IF(INDEX(評価項目対応!$O$6:$O$236,$U166)="","",INDEX(評価項目対応!$O$6:$O$236,$U166))</f>
        <v/>
      </c>
      <c r="P166" s="27" t="n">
        <f aca="false">COUNTIF(F166:G166,"")+COUNTIF(I166:O166,"")-IF(AND(G166="対象外",K166=""),1,0)</f>
        <v>8</v>
      </c>
      <c r="Q166" s="11" t="str">
        <f aca="false">IF(F166="","会社名コード未設定（D4）",IF(OR(G166="",G166="n/a"),"適用性を確定（評価項目対応I列）",IF(AND(G166="対象外",OR(I166&lt;&gt;"対象外",J166&lt;&gt;"n/a")),"対象外ならR=対象外・S=n/a",IF(AND(G166="対象",OR(I166="対象外",J166="n/a")),"対象なのにR／Sが対象外・n/a",IF(AND(G166="対象",OR(I166="",J166="")),"R・Sを入力",IF(AND(ISNUMBER(J166),ISNUMBER(V166),ABS(N(J166)-N(V166))&gt;=1),"RとSの乖離（案分ならUに明記）",IF(AND(G166="対象",L166=""),"Uに制約・代替策・未検証を記載",IF(AND(G166="対象外",L166=""),"対象外の理由・承認者をUに記載",IF(OR(M166="",N166="",O166=""),"V～Xを入力",IF(P166&gt;0,"未記入あり（P列）","OK"))))))))))</f>
        <v>会社名コード未設定（D4）</v>
      </c>
      <c r="R166" s="11" t="str">
        <f aca="false">IF(INDEX(評価項目対応!$M$6:$M$236,$U166)="","",INDEX(評価項目対応!$M$6:$M$236,$U166))</f>
        <v/>
      </c>
      <c r="S166" s="11" t="str">
        <f aca="false">INDEX(評価項目対応!$H$6:$H$236,$U166)</f>
        <v>仮想化基盤、アプリ制御、アンチマルウェア運用、ツール使用調査、認証ログの既存証跡を担当者から受領し、ChromeOSで変わる点のみ補足する。</v>
      </c>
      <c r="T166" s="11" t="str">
        <f aca="false">TRIM(IF(INDEX(評価項目対応!$K$6:$K$236,$U166)="","","試験ID: "&amp;INDEX(評価項目対応!$K$6:$K$236,$U166)&amp;"　")&amp;IF(INDEX(評価項目対応!$L$6:$L$236,$U166)="","","判断理由: "&amp;INDEX(評価項目対応!$L$6:$L$236,$U166)))</f>
        <v/>
      </c>
      <c r="U166" s="28" t="n">
        <f aca="false">MATCH($A166,評価項目対応!$A$6:$A$236,0)</f>
        <v>160</v>
      </c>
      <c r="V166" s="28" t="str">
        <f aca="false">IFERROR(VLOOKUP(I166,$X$6:$Y$11,2,FALSE()),"")</f>
        <v/>
      </c>
    </row>
    <row r="167" customFormat="false" ht="91.5" hidden="false" customHeight="true" outlineLevel="0" collapsed="false">
      <c r="A167" s="13" t="n">
        <v>163</v>
      </c>
      <c r="B167" s="13" t="n">
        <f aca="false">INDEX(評価項目対応!$B$6:$B$236,$U167)</f>
        <v>190</v>
      </c>
      <c r="C167" s="13" t="str">
        <f aca="false">INDEX(評価項目対応!$F$6:$F$236,$U167)</f>
        <v>5.07a</v>
      </c>
      <c r="D167" s="11" t="str">
        <f aca="false">INDEX(評価項目対応!$D$6:$D$236,$U167)</f>
        <v>フォレンジック</v>
      </c>
      <c r="E167" s="11" t="str">
        <f aca="false">INDEX(評価項目対応!$E$6:$E$236,$U167)</f>
        <v>既存の組織の検知または防止システム（アンチウイルス、EDR、IDS、侵入
防止システムなど）とログを調査することで、攻撃の初期段階に関与した
追加のシステムやマルウェアの証拠を浮き彫りにすることができる。</v>
      </c>
      <c r="F167" s="13" t="str">
        <f aca="false">IF($D$4="","",$D$4)</f>
        <v/>
      </c>
      <c r="G167" s="13" t="str">
        <f aca="false">IFERROR(IF(INDEX(評価項目対応!$I$6:$I$236,$U167)="対象","対象",IF(INDEX(評価項目対応!$I$6:$I$236,$U167)="対象外（承認済）","対象外",IF(INDEX(評価項目対応!$I$6:$I$236,$U167)="未確定","n/a",""))),"")</f>
        <v>n/a</v>
      </c>
      <c r="H167" s="25" t="str">
        <f aca="false">IF(ISBLANK(J167),"",IF(J167=5,"Yes",IF(J167=4,"Yes","No")))</f>
        <v/>
      </c>
      <c r="I167" s="18"/>
      <c r="J167" s="26"/>
      <c r="K167" s="18"/>
      <c r="L167" s="18"/>
      <c r="M167" s="11" t="str">
        <f aca="false">IF(INDEX(評価項目対応!$J$6:$J$236,$U167)="","",INDEX(評価項目対応!$J$6:$J$236,$U167))</f>
        <v/>
      </c>
      <c r="N167" s="11" t="str">
        <f aca="false">IF(INDEX(評価項目対応!$N$6:$N$236,$U167)="","",INDEX(評価項目対応!$N$6:$N$236,$U167))</f>
        <v/>
      </c>
      <c r="O167" s="11" t="str">
        <f aca="false">IF(INDEX(評価項目対応!$O$6:$O$236,$U167)="","",INDEX(評価項目対応!$O$6:$O$236,$U167))</f>
        <v/>
      </c>
      <c r="P167" s="27" t="n">
        <f aca="false">COUNTIF(F167:G167,"")+COUNTIF(I167:O167,"")-IF(AND(G167="対象外",K167=""),1,0)</f>
        <v>8</v>
      </c>
      <c r="Q167" s="11" t="str">
        <f aca="false">IF(F167="","会社名コード未設定（D4）",IF(OR(G167="",G167="n/a"),"適用性を確定（評価項目対応I列）",IF(AND(G167="対象外",OR(I167&lt;&gt;"対象外",J167&lt;&gt;"n/a")),"対象外ならR=対象外・S=n/a",IF(AND(G167="対象",OR(I167="対象外",J167="n/a")),"対象なのにR／Sが対象外・n/a",IF(AND(G167="対象",OR(I167="",J167="")),"R・Sを入力",IF(AND(ISNUMBER(J167),ISNUMBER(V167),ABS(N(J167)-N(V167))&gt;=1),"RとSの乖離（案分ならUに明記）",IF(AND(G167="対象",L167=""),"Uに制約・代替策・未検証を記載",IF(AND(G167="対象外",L167=""),"対象外の理由・承認者をUに記載",IF(OR(M167="",N167="",O167=""),"V～Xを入力",IF(P167&gt;0,"未記入あり（P列）","OK"))))))))))</f>
        <v>会社名コード未設定（D4）</v>
      </c>
      <c r="R167" s="11" t="str">
        <f aca="false">IF(INDEX(評価項目対応!$M$6:$M$236,$U167)="","",INDEX(評価項目対応!$M$6:$M$236,$U167))</f>
        <v/>
      </c>
      <c r="S167" s="11" t="str">
        <f aca="false">INDEX(評価項目対応!$H$6:$H$236,$U167)</f>
        <v>既存IR手順・演習記録の該当箇所とChromeOS／クラウドの役割を確認する。新規の全社演習は設けず、不足は責任者へ課題化する。</v>
      </c>
      <c r="T167" s="11" t="str">
        <f aca="false">TRIM(IF(INDEX(評価項目対応!$K$6:$K$236,$U167)="","","試験ID: "&amp;INDEX(評価項目対応!$K$6:$K$236,$U167)&amp;"　")&amp;IF(INDEX(評価項目対応!$L$6:$L$236,$U167)="","","判断理由: "&amp;INDEX(評価項目対応!$L$6:$L$236,$U167)))</f>
        <v/>
      </c>
      <c r="U167" s="28" t="n">
        <f aca="false">MATCH($A167,評価項目対応!$A$6:$A$236,0)</f>
        <v>161</v>
      </c>
      <c r="V167" s="28" t="str">
        <f aca="false">IFERROR(VLOOKUP(I167,$X$6:$Y$11,2,FALSE()),"")</f>
        <v/>
      </c>
    </row>
    <row r="168" customFormat="false" ht="91.5" hidden="false" customHeight="true" outlineLevel="0" collapsed="false">
      <c r="A168" s="13" t="n">
        <v>164</v>
      </c>
      <c r="B168" s="13" t="n">
        <f aca="false">INDEX(評価項目対応!$B$6:$B$236,$U168)</f>
        <v>191</v>
      </c>
      <c r="C168" s="13" t="str">
        <f aca="false">INDEX(評価項目対応!$F$6:$F$236,$U168)</f>
        <v>5.07a</v>
      </c>
      <c r="D168" s="11" t="str">
        <f aca="false">INDEX(評価項目対応!$D$6:$D$236,$U168)</f>
        <v>フォレンジック</v>
      </c>
      <c r="E168" s="11" t="str">
        <f aca="false">INDEX(評価項目対応!$E$6:$E$236,$U168)</f>
        <v>Bumblebee、Dridex、Emotet、QakBot、Anchorなどの前兆となる「ドロッ
パー」マルウェアの証拠を探す。
（ランサムウェアイベントは、以前の未解決のネットワーク侵害の証拠で
ある可能性がある。）</v>
      </c>
      <c r="F168" s="13" t="str">
        <f aca="false">IF($D$4="","",$D$4)</f>
        <v/>
      </c>
      <c r="G168" s="13" t="str">
        <f aca="false">IFERROR(IF(INDEX(評価項目対応!$I$6:$I$236,$U168)="対象","対象",IF(INDEX(評価項目対応!$I$6:$I$236,$U168)="対象外（承認済）","対象外",IF(INDEX(評価項目対応!$I$6:$I$236,$U168)="未確定","n/a",""))),"")</f>
        <v>n/a</v>
      </c>
      <c r="H168" s="25" t="str">
        <f aca="false">IF(ISBLANK(J168),"",IF(J168=5,"Yes",IF(J168=4,"Yes","No")))</f>
        <v/>
      </c>
      <c r="I168" s="18"/>
      <c r="J168" s="26"/>
      <c r="K168" s="18"/>
      <c r="L168" s="18"/>
      <c r="M168" s="11" t="str">
        <f aca="false">IF(INDEX(評価項目対応!$J$6:$J$236,$U168)="","",INDEX(評価項目対応!$J$6:$J$236,$U168))</f>
        <v/>
      </c>
      <c r="N168" s="11" t="str">
        <f aca="false">IF(INDEX(評価項目対応!$N$6:$N$236,$U168)="","",INDEX(評価項目対応!$N$6:$N$236,$U168))</f>
        <v/>
      </c>
      <c r="O168" s="11" t="str">
        <f aca="false">IF(INDEX(評価項目対応!$O$6:$O$236,$U168)="","",INDEX(評価項目対応!$O$6:$O$236,$U168))</f>
        <v/>
      </c>
      <c r="P168" s="27" t="n">
        <f aca="false">COUNTIF(F168:G168,"")+COUNTIF(I168:O168,"")-IF(AND(G168="対象外",K168=""),1,0)</f>
        <v>8</v>
      </c>
      <c r="Q168" s="11" t="str">
        <f aca="false">IF(F168="","会社名コード未設定（D4）",IF(OR(G168="",G168="n/a"),"適用性を確定（評価項目対応I列）",IF(AND(G168="対象外",OR(I168&lt;&gt;"対象外",J168&lt;&gt;"n/a")),"対象外ならR=対象外・S=n/a",IF(AND(G168="対象",OR(I168="対象外",J168="n/a")),"対象なのにR／Sが対象外・n/a",IF(AND(G168="対象",OR(I168="",J168="")),"R・Sを入力",IF(AND(ISNUMBER(J168),ISNUMBER(V168),ABS(N(J168)-N(V168))&gt;=1),"RとSの乖離（案分ならUに明記）",IF(AND(G168="対象",L168=""),"Uに制約・代替策・未検証を記載",IF(AND(G168="対象外",L168=""),"対象外の理由・承認者をUに記載",IF(OR(M168="",N168="",O168=""),"V～Xを入力",IF(P168&gt;0,"未記入あり（P列）","OK"))))))))))</f>
        <v>会社名コード未設定（D4）</v>
      </c>
      <c r="R168" s="11" t="str">
        <f aca="false">IF(INDEX(評価項目対応!$M$6:$M$236,$U168)="","",INDEX(評価項目対応!$M$6:$M$236,$U168))</f>
        <v/>
      </c>
      <c r="S168" s="11" t="str">
        <f aca="false">INDEX(評価項目対応!$H$6:$H$236,$U168)</f>
        <v>既存IR手順・演習記録の該当箇所とChromeOS／クラウドの役割を確認する。新規の全社演習は設けず、不足は責任者へ課題化する。</v>
      </c>
      <c r="T168" s="11" t="str">
        <f aca="false">TRIM(IF(INDEX(評価項目対応!$K$6:$K$236,$U168)="","","試験ID: "&amp;INDEX(評価項目対応!$K$6:$K$236,$U168)&amp;"　")&amp;IF(INDEX(評価項目対応!$L$6:$L$236,$U168)="","","判断理由: "&amp;INDEX(評価項目対応!$L$6:$L$236,$U168)))</f>
        <v/>
      </c>
      <c r="U168" s="28" t="n">
        <f aca="false">MATCH($A168,評価項目対応!$A$6:$A$236,0)</f>
        <v>162</v>
      </c>
      <c r="V168" s="28" t="str">
        <f aca="false">IFERROR(VLOOKUP(I168,$X$6:$Y$11,2,FALSE()),"")</f>
        <v/>
      </c>
    </row>
    <row r="169" customFormat="false" ht="78" hidden="false" customHeight="true" outlineLevel="0" collapsed="false">
      <c r="A169" s="13" t="n">
        <v>165</v>
      </c>
      <c r="B169" s="13" t="n">
        <f aca="false">INDEX(評価項目対応!$B$6:$B$236,$U169)</f>
        <v>212</v>
      </c>
      <c r="C169" s="13" t="str">
        <f aca="false">INDEX(評価項目対応!$F$6:$F$236,$U169)</f>
        <v>5.07a</v>
      </c>
      <c r="D169" s="11" t="str">
        <f aca="false">INDEX(評価項目対応!$D$6:$D$236,$U169)</f>
        <v>フォレンジック</v>
      </c>
      <c r="E169" s="11" t="str">
        <f aca="false">INDEX(評価項目対応!$E$6:$E$236,$U169)</f>
        <v>初期の緩和措置が不可能な場合は、影響を受けたデバイスのサンプルのシ
ステムイメージとメモリキャプチャを取得する。</v>
      </c>
      <c r="F169" s="13" t="str">
        <f aca="false">IF($D$4="","",$D$4)</f>
        <v/>
      </c>
      <c r="G169" s="13" t="str">
        <f aca="false">IFERROR(IF(INDEX(評価項目対応!$I$6:$I$236,$U169)="対象","対象",IF(INDEX(評価項目対応!$I$6:$I$236,$U169)="対象外（承認済）","対象外",IF(INDEX(評価項目対応!$I$6:$I$236,$U169)="未確定","n/a",""))),"")</f>
        <v>n/a</v>
      </c>
      <c r="H169" s="25" t="str">
        <f aca="false">IF(ISBLANK(J169),"",IF(J169=5,"Yes",IF(J169=4,"Yes","No")))</f>
        <v/>
      </c>
      <c r="I169" s="18"/>
      <c r="J169" s="26"/>
      <c r="K169" s="18"/>
      <c r="L169" s="18"/>
      <c r="M169" s="11" t="str">
        <f aca="false">IF(INDEX(評価項目対応!$J$6:$J$236,$U169)="","",INDEX(評価項目対応!$J$6:$J$236,$U169))</f>
        <v/>
      </c>
      <c r="N169" s="11" t="str">
        <f aca="false">IF(INDEX(評価項目対応!$N$6:$N$236,$U169)="","",INDEX(評価項目対応!$N$6:$N$236,$U169))</f>
        <v/>
      </c>
      <c r="O169" s="11" t="str">
        <f aca="false">IF(INDEX(評価項目対応!$O$6:$O$236,$U169)="","",INDEX(評価項目対応!$O$6:$O$236,$U169))</f>
        <v/>
      </c>
      <c r="P169" s="27" t="n">
        <f aca="false">COUNTIF(F169:G169,"")+COUNTIF(I169:O169,"")-IF(AND(G169="対象外",K169=""),1,0)</f>
        <v>8</v>
      </c>
      <c r="Q169" s="11" t="str">
        <f aca="false">IF(F169="","会社名コード未設定（D4）",IF(OR(G169="",G169="n/a"),"適用性を確定（評価項目対応I列）",IF(AND(G169="対象外",OR(I169&lt;&gt;"対象外",J169&lt;&gt;"n/a")),"対象外ならR=対象外・S=n/a",IF(AND(G169="対象",OR(I169="対象外",J169="n/a")),"対象なのにR／Sが対象外・n/a",IF(AND(G169="対象",OR(I169="",J169="")),"R・Sを入力",IF(AND(ISNUMBER(J169),ISNUMBER(V169),ABS(N(J169)-N(V169))&gt;=1),"RとSの乖離（案分ならUに明記）",IF(AND(G169="対象",L169=""),"Uに制約・代替策・未検証を記載",IF(AND(G169="対象外",L169=""),"対象外の理由・承認者をUに記載",IF(OR(M169="",N169="",O169=""),"V～Xを入力",IF(P169&gt;0,"未記入あり（P列）","OK"))))))))))</f>
        <v>会社名コード未設定（D4）</v>
      </c>
      <c r="R169" s="11" t="str">
        <f aca="false">IF(INDEX(評価項目対応!$M$6:$M$236,$U169)="","",INDEX(評価項目対応!$M$6:$M$236,$U169))</f>
        <v>5.07b</v>
      </c>
      <c r="S169" s="11" t="str">
        <f aca="false">INDEX(評価項目対応!$H$6:$H$236,$U169)</f>
        <v>既存IR手順・演習記録の該当箇所とChromeOS／クラウドの役割を確認する。新規の全社演習は設けず、不足は責任者へ課題化する。 Chromebook固有の手順（端末無効化・アカウント停止・証跡保全）は5.07b（11/4）で確認する。</v>
      </c>
      <c r="T169" s="11" t="str">
        <f aca="false">TRIM(IF(INDEX(評価項目対応!$K$6:$K$236,$U169)="","","試験ID: "&amp;INDEX(評価項目対応!$K$6:$K$236,$U169)&amp;"　")&amp;IF(INDEX(評価項目対応!$L$6:$L$236,$U169)="","","判断理由: "&amp;INDEX(評価項目対応!$L$6:$L$236,$U169)))</f>
        <v/>
      </c>
      <c r="U169" s="28" t="n">
        <f aca="false">MATCH($A169,評価項目対応!$A$6:$A$236,0)</f>
        <v>163</v>
      </c>
      <c r="V169" s="28" t="str">
        <f aca="false">IFERROR(VLOOKUP(I169,$X$6:$Y$11,2,FALSE()),"")</f>
        <v/>
      </c>
    </row>
    <row r="170" customFormat="false" ht="78" hidden="false" customHeight="true" outlineLevel="0" collapsed="false">
      <c r="A170" s="13" t="n">
        <v>166</v>
      </c>
      <c r="B170" s="13" t="n">
        <f aca="false">INDEX(評価項目対応!$B$6:$B$236,$U170)</f>
        <v>213</v>
      </c>
      <c r="C170" s="13" t="str">
        <f aca="false">INDEX(評価項目対応!$F$6:$F$236,$U170)</f>
        <v>5.07a</v>
      </c>
      <c r="D170" s="11" t="str">
        <f aca="false">INDEX(評価項目対応!$D$6:$D$236,$U170)</f>
        <v>フォレンジック</v>
      </c>
      <c r="E170" s="11" t="str">
        <f aca="false">INDEX(評価項目対応!$E$6:$E$236,$U170)</f>
        <v>消失や改ざんを防ぐために、高揮発性または保持期間が限られている証拠
を保全する。</v>
      </c>
      <c r="F170" s="13" t="str">
        <f aca="false">IF($D$4="","",$D$4)</f>
        <v/>
      </c>
      <c r="G170" s="13" t="str">
        <f aca="false">IFERROR(IF(INDEX(評価項目対応!$I$6:$I$236,$U170)="対象","対象",IF(INDEX(評価項目対応!$I$6:$I$236,$U170)="対象外（承認済）","対象外",IF(INDEX(評価項目対応!$I$6:$I$236,$U170)="未確定","n/a",""))),"")</f>
        <v>n/a</v>
      </c>
      <c r="H170" s="25" t="str">
        <f aca="false">IF(ISBLANK(J170),"",IF(J170=5,"Yes",IF(J170=4,"Yes","No")))</f>
        <v/>
      </c>
      <c r="I170" s="18"/>
      <c r="J170" s="26"/>
      <c r="K170" s="18"/>
      <c r="L170" s="18"/>
      <c r="M170" s="11" t="str">
        <f aca="false">IF(INDEX(評価項目対応!$J$6:$J$236,$U170)="","",INDEX(評価項目対応!$J$6:$J$236,$U170))</f>
        <v/>
      </c>
      <c r="N170" s="11" t="str">
        <f aca="false">IF(INDEX(評価項目対応!$N$6:$N$236,$U170)="","",INDEX(評価項目対応!$N$6:$N$236,$U170))</f>
        <v/>
      </c>
      <c r="O170" s="11" t="str">
        <f aca="false">IF(INDEX(評価項目対応!$O$6:$O$236,$U170)="","",INDEX(評価項目対応!$O$6:$O$236,$U170))</f>
        <v/>
      </c>
      <c r="P170" s="27" t="n">
        <f aca="false">COUNTIF(F170:G170,"")+COUNTIF(I170:O170,"")-IF(AND(G170="対象外",K170=""),1,0)</f>
        <v>8</v>
      </c>
      <c r="Q170" s="11" t="str">
        <f aca="false">IF(F170="","会社名コード未設定（D4）",IF(OR(G170="",G170="n/a"),"適用性を確定（評価項目対応I列）",IF(AND(G170="対象外",OR(I170&lt;&gt;"対象外",J170&lt;&gt;"n/a")),"対象外ならR=対象外・S=n/a",IF(AND(G170="対象",OR(I170="対象外",J170="n/a")),"対象なのにR／Sが対象外・n/a",IF(AND(G170="対象",OR(I170="",J170="")),"R・Sを入力",IF(AND(ISNUMBER(J170),ISNUMBER(V170),ABS(N(J170)-N(V170))&gt;=1),"RとSの乖離（案分ならUに明記）",IF(AND(G170="対象",L170=""),"Uに制約・代替策・未検証を記載",IF(AND(G170="対象外",L170=""),"対象外の理由・承認者をUに記載",IF(OR(M170="",N170="",O170=""),"V～Xを入力",IF(P170&gt;0,"未記入あり（P列）","OK"))))))))))</f>
        <v>会社名コード未設定（D4）</v>
      </c>
      <c r="R170" s="11" t="str">
        <f aca="false">IF(INDEX(評価項目対応!$M$6:$M$236,$U170)="","",INDEX(評価項目対応!$M$6:$M$236,$U170))</f>
        <v>5.07b</v>
      </c>
      <c r="S170" s="11" t="str">
        <f aca="false">INDEX(評価項目対応!$H$6:$H$236,$U170)</f>
        <v>既存IR手順・演習記録の該当箇所とChromeOS／クラウドの役割を確認する。新規の全社演習は設けず、不足は責任者へ課題化する。 Chromebook固有の手順（端末無効化・アカウント停止・証跡保全）は5.07b（11/4）で確認する。</v>
      </c>
      <c r="T170" s="11" t="str">
        <f aca="false">TRIM(IF(INDEX(評価項目対応!$K$6:$K$236,$U170)="","","試験ID: "&amp;INDEX(評価項目対応!$K$6:$K$236,$U170)&amp;"　")&amp;IF(INDEX(評価項目対応!$L$6:$L$236,$U170)="","","判断理由: "&amp;INDEX(評価項目対応!$L$6:$L$236,$U170)))</f>
        <v/>
      </c>
      <c r="U170" s="28" t="n">
        <f aca="false">MATCH($A170,評価項目対応!$A$6:$A$236,0)</f>
        <v>164</v>
      </c>
      <c r="V170" s="28" t="str">
        <f aca="false">IFERROR(VLOOKUP(I170,$X$6:$Y$11,2,FALSE()),"")</f>
        <v/>
      </c>
    </row>
    <row r="171" customFormat="false" ht="63.75" hidden="false" customHeight="true" outlineLevel="0" collapsed="false">
      <c r="A171" s="13" t="n">
        <v>167</v>
      </c>
      <c r="B171" s="13" t="n">
        <f aca="false">INDEX(評価項目対応!$B$6:$B$236,$U171)</f>
        <v>137</v>
      </c>
      <c r="C171" s="13" t="str">
        <f aca="false">INDEX(評価項目対応!$F$6:$F$236,$U171)</f>
        <v>5.04</v>
      </c>
      <c r="D171" s="11" t="str">
        <f aca="false">INDEX(評価項目対応!$D$6:$D$236,$U171)</f>
        <v>ログ管理</v>
      </c>
      <c r="E171" s="11" t="str">
        <f aca="false">INDEX(評価項目対応!$E$6:$E$236,$U171)</f>
        <v>すべてのリソースでロギングを有効にし、異常な使用状況に対するアラー
トを設定する。</v>
      </c>
      <c r="F171" s="13" t="str">
        <f aca="false">IF($D$4="","",$D$4)</f>
        <v/>
      </c>
      <c r="G171" s="13" t="str">
        <f aca="false">IFERROR(IF(INDEX(評価項目対応!$I$6:$I$236,$U171)="対象","対象",IF(INDEX(評価項目対応!$I$6:$I$236,$U171)="対象外（承認済）","対象外",IF(INDEX(評価項目対応!$I$6:$I$236,$U171)="未確定","n/a",""))),"")</f>
        <v>n/a</v>
      </c>
      <c r="H171" s="25" t="str">
        <f aca="false">IF(ISBLANK(J171),"",IF(J171=5,"Yes",IF(J171=4,"Yes","No")))</f>
        <v/>
      </c>
      <c r="I171" s="18"/>
      <c r="J171" s="26"/>
      <c r="K171" s="18"/>
      <c r="L171" s="18"/>
      <c r="M171" s="11" t="str">
        <f aca="false">IF(INDEX(評価項目対応!$J$6:$J$236,$U171)="","",INDEX(評価項目対応!$J$6:$J$236,$U171))</f>
        <v/>
      </c>
      <c r="N171" s="11" t="str">
        <f aca="false">IF(INDEX(評価項目対応!$N$6:$N$236,$U171)="","",INDEX(評価項目対応!$N$6:$N$236,$U171))</f>
        <v/>
      </c>
      <c r="O171" s="11" t="str">
        <f aca="false">IF(INDEX(評価項目対応!$O$6:$O$236,$U171)="","",INDEX(評価項目対応!$O$6:$O$236,$U171))</f>
        <v/>
      </c>
      <c r="P171" s="27" t="n">
        <f aca="false">COUNTIF(F171:G171,"")+COUNTIF(I171:O171,"")-IF(AND(G171="対象外",K171=""),1,0)</f>
        <v>8</v>
      </c>
      <c r="Q171" s="11" t="str">
        <f aca="false">IF(F171="","会社名コード未設定（D4）",IF(OR(G171="",G171="n/a"),"適用性を確定（評価項目対応I列）",IF(AND(G171="対象外",OR(I171&lt;&gt;"対象外",J171&lt;&gt;"n/a")),"対象外ならR=対象外・S=n/a",IF(AND(G171="対象",OR(I171="対象外",J171="n/a")),"対象なのにR／Sが対象外・n/a",IF(AND(G171="対象",OR(I171="",J171="")),"R・Sを入力",IF(AND(ISNUMBER(J171),ISNUMBER(V171),ABS(N(J171)-N(V171))&gt;=1),"RとSの乖離（案分ならUに明記）",IF(AND(G171="対象",L171=""),"Uに制約・代替策・未検証を記載",IF(AND(G171="対象外",L171=""),"対象外の理由・承認者をUに記載",IF(OR(M171="",N171="",O171=""),"V～Xを入力",IF(P171&gt;0,"未記入あり（P列）","OK"))))))))))</f>
        <v>会社名コード未設定（D4）</v>
      </c>
      <c r="R171" s="11" t="str">
        <f aca="false">IF(INDEX(評価項目対応!$M$6:$M$236,$U171)="","",INDEX(評価項目対応!$M$6:$M$236,$U171))</f>
        <v>5.03</v>
      </c>
      <c r="S171" s="11" t="str">
        <f aca="false">INDEX(評価項目対応!$H$6:$H$236,$U171)</f>
        <v>ログ保管、監視、告知・自動対応の利用可能範囲を確認する。13か月保持要件は種類別に差分評価する。 端末側のログ・上報（Chromeイベント、システムログ、端末上の失敗ログイン）の確認（5.03）も根拠にする。</v>
      </c>
      <c r="T171" s="11" t="str">
        <f aca="false">TRIM(IF(INDEX(評価項目対応!$K$6:$K$236,$U171)="","","試験ID: "&amp;INDEX(評価項目対応!$K$6:$K$236,$U171)&amp;"　")&amp;IF(INDEX(評価項目対応!$L$6:$L$236,$U171)="","","判断理由: "&amp;INDEX(評価項目対応!$L$6:$L$236,$U171)))</f>
        <v/>
      </c>
      <c r="U171" s="28" t="n">
        <f aca="false">MATCH($A171,評価項目対応!$A$6:$A$236,0)</f>
        <v>165</v>
      </c>
      <c r="V171" s="28" t="str">
        <f aca="false">IFERROR(VLOOKUP(I171,$X$6:$Y$11,2,FALSE()),"")</f>
        <v/>
      </c>
    </row>
    <row r="172" customFormat="false" ht="120" hidden="false" customHeight="true" outlineLevel="0" collapsed="false">
      <c r="A172" s="13" t="n">
        <v>168</v>
      </c>
      <c r="B172" s="13" t="n">
        <f aca="false">INDEX(評価項目対応!$B$6:$B$236,$U172)</f>
        <v>169</v>
      </c>
      <c r="C172" s="13" t="str">
        <f aca="false">INDEX(評価項目対応!$F$6:$F$236,$U172)</f>
        <v>5.04</v>
      </c>
      <c r="D172" s="11" t="str">
        <f aca="false">INDEX(評価項目対応!$D$6:$D$236,$U172)</f>
        <v>ログ管理</v>
      </c>
      <c r="E172" s="11" t="str">
        <f aca="false">INDEX(評価項目対応!$E$6:$E$236,$U172)</f>
        <v>サイバーセキュリティイベントのトリアージと修復をサポートするために
、ネットワークデバイス、ローカルホスト、クラウドサービスからのログ
を適切に保護して保持する。
（ログを分析して、イベントの影響を判断し、インシデントが発生したか
どうかを確認できる。）</v>
      </c>
      <c r="F172" s="13" t="str">
        <f aca="false">IF($D$4="","",$D$4)</f>
        <v/>
      </c>
      <c r="G172" s="13" t="str">
        <f aca="false">IFERROR(IF(INDEX(評価項目対応!$I$6:$I$236,$U172)="対象","対象",IF(INDEX(評価項目対応!$I$6:$I$236,$U172)="対象外（承認済）","対象外",IF(INDEX(評価項目対応!$I$6:$I$236,$U172)="未確定","n/a",""))),"")</f>
        <v>n/a</v>
      </c>
      <c r="H172" s="25" t="str">
        <f aca="false">IF(ISBLANK(J172),"",IF(J172=5,"Yes",IF(J172=4,"Yes","No")))</f>
        <v/>
      </c>
      <c r="I172" s="18"/>
      <c r="J172" s="26"/>
      <c r="K172" s="18"/>
      <c r="L172" s="18"/>
      <c r="M172" s="11" t="str">
        <f aca="false">IF(INDEX(評価項目対応!$J$6:$J$236,$U172)="","",INDEX(評価項目対応!$J$6:$J$236,$U172))</f>
        <v/>
      </c>
      <c r="N172" s="11" t="str">
        <f aca="false">IF(INDEX(評価項目対応!$N$6:$N$236,$U172)="","",INDEX(評価項目対応!$N$6:$N$236,$U172))</f>
        <v/>
      </c>
      <c r="O172" s="11" t="str">
        <f aca="false">IF(INDEX(評価項目対応!$O$6:$O$236,$U172)="","",INDEX(評価項目対応!$O$6:$O$236,$U172))</f>
        <v/>
      </c>
      <c r="P172" s="27" t="n">
        <f aca="false">COUNTIF(F172:G172,"")+COUNTIF(I172:O172,"")-IF(AND(G172="対象外",K172=""),1,0)</f>
        <v>8</v>
      </c>
      <c r="Q172" s="11" t="str">
        <f aca="false">IF(F172="","会社名コード未設定（D4）",IF(OR(G172="",G172="n/a"),"適用性を確定（評価項目対応I列）",IF(AND(G172="対象外",OR(I172&lt;&gt;"対象外",J172&lt;&gt;"n/a")),"対象外ならR=対象外・S=n/a",IF(AND(G172="対象",OR(I172="対象外",J172="n/a")),"対象なのにR／Sが対象外・n/a",IF(AND(G172="対象",OR(I172="",J172="")),"R・Sを入力",IF(AND(ISNUMBER(J172),ISNUMBER(V172),ABS(N(J172)-N(V172))&gt;=1),"RとSの乖離（案分ならUに明記）",IF(AND(G172="対象",L172=""),"Uに制約・代替策・未検証を記載",IF(AND(G172="対象外",L172=""),"対象外の理由・承認者をUに記載",IF(OR(M172="",N172="",O172=""),"V～Xを入力",IF(P172&gt;0,"未記入あり（P列）","OK"))))))))))</f>
        <v>会社名コード未設定（D4）</v>
      </c>
      <c r="R172" s="11" t="str">
        <f aca="false">IF(INDEX(評価項目対応!$M$6:$M$236,$U172)="","",INDEX(評価項目対応!$M$6:$M$236,$U172))</f>
        <v>5.03</v>
      </c>
      <c r="S172" s="11" t="str">
        <f aca="false">INDEX(評価項目対応!$H$6:$H$236,$U172)</f>
        <v>ログ保管、監視、告知・自動対応の利用可能範囲を確認する。13か月保持要件は種類別に差分評価する。 端末側のログ・上報（Chromeイベント、システムログ、端末上の失敗ログイン）の確認（5.03）も根拠にする。</v>
      </c>
      <c r="T172" s="11" t="str">
        <f aca="false">TRIM(IF(INDEX(評価項目対応!$K$6:$K$236,$U172)="","","試験ID: "&amp;INDEX(評価項目対応!$K$6:$K$236,$U172)&amp;"　")&amp;IF(INDEX(評価項目対応!$L$6:$L$236,$U172)="","","判断理由: "&amp;INDEX(評価項目対応!$L$6:$L$236,$U172)))</f>
        <v/>
      </c>
      <c r="U172" s="28" t="n">
        <f aca="false">MATCH($A172,評価項目対応!$A$6:$A$236,0)</f>
        <v>166</v>
      </c>
      <c r="V172" s="28" t="str">
        <f aca="false">IFERROR(VLOOKUP(I172,$X$6:$Y$11,2,FALSE()),"")</f>
        <v/>
      </c>
    </row>
    <row r="173" customFormat="false" ht="63.75" hidden="false" customHeight="true" outlineLevel="0" collapsed="false">
      <c r="A173" s="13" t="n">
        <v>169</v>
      </c>
      <c r="B173" s="13" t="n">
        <f aca="false">INDEX(評価項目対応!$B$6:$B$236,$U173)</f>
        <v>170</v>
      </c>
      <c r="C173" s="13" t="str">
        <f aca="false">INDEX(評価項目対応!$F$6:$F$236,$U173)</f>
        <v>5.04</v>
      </c>
      <c r="D173" s="11" t="str">
        <f aca="false">INDEX(評価項目対応!$D$6:$D$236,$U173)</f>
        <v>ログ管理</v>
      </c>
      <c r="E173" s="11" t="str">
        <f aca="false">INDEX(評価項目対応!$E$6:$E$236,$U173)</f>
        <v>可能であれば、重要なシステムのログを最低13カ月間保持してバックアッ
プする。</v>
      </c>
      <c r="F173" s="13" t="str">
        <f aca="false">IF($D$4="","",$D$4)</f>
        <v/>
      </c>
      <c r="G173" s="13" t="str">
        <f aca="false">IFERROR(IF(INDEX(評価項目対応!$I$6:$I$236,$U173)="対象","対象",IF(INDEX(評価項目対応!$I$6:$I$236,$U173)="対象外（承認済）","対象外",IF(INDEX(評価項目対応!$I$6:$I$236,$U173)="未確定","n/a",""))),"")</f>
        <v>n/a</v>
      </c>
      <c r="H173" s="25" t="str">
        <f aca="false">IF(ISBLANK(J173),"",IF(J173=5,"Yes",IF(J173=4,"Yes","No")))</f>
        <v/>
      </c>
      <c r="I173" s="18"/>
      <c r="J173" s="26"/>
      <c r="K173" s="18"/>
      <c r="L173" s="18"/>
      <c r="M173" s="11" t="str">
        <f aca="false">IF(INDEX(評価項目対応!$J$6:$J$236,$U173)="","",INDEX(評価項目対応!$J$6:$J$236,$U173))</f>
        <v/>
      </c>
      <c r="N173" s="11" t="str">
        <f aca="false">IF(INDEX(評価項目対応!$N$6:$N$236,$U173)="","",INDEX(評価項目対応!$N$6:$N$236,$U173))</f>
        <v/>
      </c>
      <c r="O173" s="11" t="str">
        <f aca="false">IF(INDEX(評価項目対応!$O$6:$O$236,$U173)="","",INDEX(評価項目対応!$O$6:$O$236,$U173))</f>
        <v/>
      </c>
      <c r="P173" s="27" t="n">
        <f aca="false">COUNTIF(F173:G173,"")+COUNTIF(I173:O173,"")-IF(AND(G173="対象外",K173=""),1,0)</f>
        <v>8</v>
      </c>
      <c r="Q173" s="11" t="str">
        <f aca="false">IF(F173="","会社名コード未設定（D4）",IF(OR(G173="",G173="n/a"),"適用性を確定（評価項目対応I列）",IF(AND(G173="対象外",OR(I173&lt;&gt;"対象外",J173&lt;&gt;"n/a")),"対象外ならR=対象外・S=n/a",IF(AND(G173="対象",OR(I173="対象外",J173="n/a")),"対象なのにR／Sが対象外・n/a",IF(AND(G173="対象",OR(I173="",J173="")),"R・Sを入力",IF(AND(ISNUMBER(J173),ISNUMBER(V173),ABS(N(J173)-N(V173))&gt;=1),"RとSの乖離（案分ならUに明記）",IF(AND(G173="対象",L173=""),"Uに制約・代替策・未検証を記載",IF(AND(G173="対象外",L173=""),"対象外の理由・承認者をUに記載",IF(OR(M173="",N173="",O173=""),"V～Xを入力",IF(P173&gt;0,"未記入あり（P列）","OK"))))))))))</f>
        <v>会社名コード未設定（D4）</v>
      </c>
      <c r="R173" s="11" t="str">
        <f aca="false">IF(INDEX(評価項目対応!$M$6:$M$236,$U173)="","",INDEX(評価項目対応!$M$6:$M$236,$U173))</f>
        <v>5.03</v>
      </c>
      <c r="S173" s="11" t="str">
        <f aca="false">INDEX(評価項目対応!$H$6:$H$236,$U173)</f>
        <v>重要ログの13か月保持という原要求に対し、製品のログ種別別期間・外部保管・保護・検索を確認する。 端末側のログ・上報（Chromeイベント、システムログ、端末上の失敗ログイン）の確認（5.03）も根拠にする。</v>
      </c>
      <c r="T173" s="11" t="str">
        <f aca="false">TRIM(IF(INDEX(評価項目対応!$K$6:$K$236,$U173)="","","試験ID: "&amp;INDEX(評価項目対応!$K$6:$K$236,$U173)&amp;"　")&amp;IF(INDEX(評価項目対応!$L$6:$L$236,$U173)="","","判断理由: "&amp;INDEX(評価項目対応!$L$6:$L$236,$U173)))</f>
        <v/>
      </c>
      <c r="U173" s="28" t="n">
        <f aca="false">MATCH($A173,評価項目対応!$A$6:$A$236,0)</f>
        <v>167</v>
      </c>
      <c r="V173" s="28" t="str">
        <f aca="false">IFERROR(VLOOKUP(I173,$X$6:$Y$11,2,FALSE()),"")</f>
        <v/>
      </c>
    </row>
    <row r="174" customFormat="false" ht="120" hidden="false" customHeight="true" outlineLevel="0" collapsed="false">
      <c r="A174" s="13" t="n">
        <v>170</v>
      </c>
      <c r="B174" s="13" t="n">
        <f aca="false">INDEX(評価項目対応!$B$6:$B$236,$U174)</f>
        <v>171</v>
      </c>
      <c r="C174" s="13" t="str">
        <f aca="false">INDEX(評価項目対応!$F$6:$F$236,$U174)</f>
        <v>5.04</v>
      </c>
      <c r="D174" s="11" t="str">
        <f aca="false">INDEX(評価項目対応!$D$6:$D$236,$U174)</f>
        <v>ログ管理</v>
      </c>
      <c r="E174" s="11" t="str">
        <f aca="false">INDEX(評価項目対応!$E$6:$E$236,$U174)</f>
        <v>セキュリティ情報とイベント管理ツールを使用して、一元化されたログ管
理をセットアップする。
（これにより、組織はネットワークとホストの両方のセキュリティデバイ
スからのログを関連付けることができる。複数のソースからのログをレビ
ューすることで、組織は個々のイベントをトリアージし、そのイベントが
組織に与える影響を判断できる。）</v>
      </c>
      <c r="F174" s="13" t="str">
        <f aca="false">IF($D$4="","",$D$4)</f>
        <v/>
      </c>
      <c r="G174" s="13" t="str">
        <f aca="false">IFERROR(IF(INDEX(評価項目対応!$I$6:$I$236,$U174)="対象","対象",IF(INDEX(評価項目対応!$I$6:$I$236,$U174)="対象外（承認済）","対象外",IF(INDEX(評価項目対応!$I$6:$I$236,$U174)="未確定","n/a",""))),"")</f>
        <v>n/a</v>
      </c>
      <c r="H174" s="25" t="str">
        <f aca="false">IF(ISBLANK(J174),"",IF(J174=5,"Yes",IF(J174=4,"Yes","No")))</f>
        <v/>
      </c>
      <c r="I174" s="18"/>
      <c r="J174" s="26"/>
      <c r="K174" s="18"/>
      <c r="L174" s="18"/>
      <c r="M174" s="11" t="str">
        <f aca="false">IF(INDEX(評価項目対応!$J$6:$J$236,$U174)="","",INDEX(評価項目対応!$J$6:$J$236,$U174))</f>
        <v/>
      </c>
      <c r="N174" s="11" t="str">
        <f aca="false">IF(INDEX(評価項目対応!$N$6:$N$236,$U174)="","",INDEX(評価項目対応!$N$6:$N$236,$U174))</f>
        <v/>
      </c>
      <c r="O174" s="11" t="str">
        <f aca="false">IF(INDEX(評価項目対応!$O$6:$O$236,$U174)="","",INDEX(評価項目対応!$O$6:$O$236,$U174))</f>
        <v/>
      </c>
      <c r="P174" s="27" t="n">
        <f aca="false">COUNTIF(F174:G174,"")+COUNTIF(I174:O174,"")-IF(AND(G174="対象外",K174=""),1,0)</f>
        <v>8</v>
      </c>
      <c r="Q174" s="11" t="str">
        <f aca="false">IF(F174="","会社名コード未設定（D4）",IF(OR(G174="",G174="n/a"),"適用性を確定（評価項目対応I列）",IF(AND(G174="対象外",OR(I174&lt;&gt;"対象外",J174&lt;&gt;"n/a")),"対象外ならR=対象外・S=n/a",IF(AND(G174="対象",OR(I174="対象外",J174="n/a")),"対象なのにR／Sが対象外・n/a",IF(AND(G174="対象",OR(I174="",J174="")),"R・Sを入力",IF(AND(ISNUMBER(J174),ISNUMBER(V174),ABS(N(J174)-N(V174))&gt;=1),"RとSの乖離（案分ならUに明記）",IF(AND(G174="対象",L174=""),"Uに制約・代替策・未検証を記載",IF(AND(G174="対象外",L174=""),"対象外の理由・承認者をUに記載",IF(OR(M174="",N174="",O174=""),"V～Xを入力",IF(P174&gt;0,"未記入あり（P列）","OK"))))))))))</f>
        <v>会社名コード未設定（D4）</v>
      </c>
      <c r="R174" s="11" t="str">
        <f aca="false">IF(INDEX(評価項目対応!$M$6:$M$236,$U174)="","",INDEX(評価項目対応!$M$6:$M$236,$U174))</f>
        <v>5.03</v>
      </c>
      <c r="S174" s="11" t="str">
        <f aca="false">INDEX(評価項目対応!$H$6:$H$236,$U174)</f>
        <v>ログ保管、監視、告知・自動対応の利用可能範囲を確認する。13か月保持要件は種類別に差分評価する。 端末側のログ・上報（Chromeイベント、システムログ、端末上の失敗ログイン）の確認（5.03）も根拠にする。</v>
      </c>
      <c r="T174" s="11" t="str">
        <f aca="false">TRIM(IF(INDEX(評価項目対応!$K$6:$K$236,$U174)="","","試験ID: "&amp;INDEX(評価項目対応!$K$6:$K$236,$U174)&amp;"　")&amp;IF(INDEX(評価項目対応!$L$6:$L$236,$U174)="","","判断理由: "&amp;INDEX(評価項目対応!$L$6:$L$236,$U174)))</f>
        <v/>
      </c>
      <c r="U174" s="28" t="n">
        <f aca="false">MATCH($A174,評価項目対応!$A$6:$A$236,0)</f>
        <v>168</v>
      </c>
      <c r="V174" s="28" t="str">
        <f aca="false">IFERROR(VLOOKUP(I174,$X$6:$Y$11,2,FALSE()),"")</f>
        <v/>
      </c>
    </row>
    <row r="175" customFormat="false" ht="49.5" hidden="false" customHeight="true" outlineLevel="0" collapsed="false">
      <c r="A175" s="13" t="n">
        <v>171</v>
      </c>
      <c r="B175" s="13" t="n">
        <f aca="false">INDEX(評価項目対応!$B$6:$B$236,$U175)</f>
        <v>226</v>
      </c>
      <c r="C175" s="13" t="str">
        <f aca="false">INDEX(評価項目対応!$F$6:$F$236,$U175)</f>
        <v>5.07a</v>
      </c>
      <c r="D175" s="11" t="str">
        <f aca="false">INDEX(評価項目対応!$D$6:$D$236,$U175)</f>
        <v>外部侵入調査</v>
      </c>
      <c r="E175" s="11" t="str">
        <f aca="false">INDEX(評価項目対応!$E$6:$E$236,$U175)</f>
        <v>外部からの侵入と内部からの侵入による永続化メカニズムを特定するため
に、拡張分析を実施する。</v>
      </c>
      <c r="F175" s="13" t="str">
        <f aca="false">IF($D$4="","",$D$4)</f>
        <v/>
      </c>
      <c r="G175" s="13" t="str">
        <f aca="false">IFERROR(IF(INDEX(評価項目対応!$I$6:$I$236,$U175)="対象","対象",IF(INDEX(評価項目対応!$I$6:$I$236,$U175)="対象外（承認済）","対象外",IF(INDEX(評価項目対応!$I$6:$I$236,$U175)="未確定","n/a",""))),"")</f>
        <v>n/a</v>
      </c>
      <c r="H175" s="25" t="str">
        <f aca="false">IF(ISBLANK(J175),"",IF(J175=5,"Yes",IF(J175=4,"Yes","No")))</f>
        <v/>
      </c>
      <c r="I175" s="18"/>
      <c r="J175" s="26"/>
      <c r="K175" s="18"/>
      <c r="L175" s="18"/>
      <c r="M175" s="11" t="str">
        <f aca="false">IF(INDEX(評価項目対応!$J$6:$J$236,$U175)="","",INDEX(評価項目対応!$J$6:$J$236,$U175))</f>
        <v/>
      </c>
      <c r="N175" s="11" t="str">
        <f aca="false">IF(INDEX(評価項目対応!$N$6:$N$236,$U175)="","",INDEX(評価項目対応!$N$6:$N$236,$U175))</f>
        <v/>
      </c>
      <c r="O175" s="11" t="str">
        <f aca="false">IF(INDEX(評価項目対応!$O$6:$O$236,$U175)="","",INDEX(評価項目対応!$O$6:$O$236,$U175))</f>
        <v/>
      </c>
      <c r="P175" s="27" t="n">
        <f aca="false">COUNTIF(F175:G175,"")+COUNTIF(I175:O175,"")-IF(AND(G175="対象外",K175=""),1,0)</f>
        <v>8</v>
      </c>
      <c r="Q175" s="11" t="str">
        <f aca="false">IF(F175="","会社名コード未設定（D4）",IF(OR(G175="",G175="n/a"),"適用性を確定（評価項目対応I列）",IF(AND(G175="対象外",OR(I175&lt;&gt;"対象外",J175&lt;&gt;"n/a")),"対象外ならR=対象外・S=n/a",IF(AND(G175="対象",OR(I175="対象外",J175="n/a")),"対象なのにR／Sが対象外・n/a",IF(AND(G175="対象",OR(I175="",J175="")),"R・Sを入力",IF(AND(ISNUMBER(J175),ISNUMBER(V175),ABS(N(J175)-N(V175))&gt;=1),"RとSの乖離（案分ならUに明記）",IF(AND(G175="対象",L175=""),"Uに制約・代替策・未検証を記載",IF(AND(G175="対象外",L175=""),"対象外の理由・承認者をUに記載",IF(OR(M175="",N175="",O175=""),"V～Xを入力",IF(P175&gt;0,"未記入あり（P列）","OK"))))))))))</f>
        <v>会社名コード未設定（D4）</v>
      </c>
      <c r="R175" s="11" t="str">
        <f aca="false">IF(INDEX(評価項目対応!$M$6:$M$236,$U175)="","",INDEX(評価項目対応!$M$6:$M$236,$U175))</f>
        <v/>
      </c>
      <c r="S175" s="11" t="str">
        <f aca="false">INDEX(評価項目対応!$H$6:$H$236,$U175)</f>
        <v>既存IR手順・演習記録の該当箇所とChromeOS／クラウドの役割を確認する。新規の全社演習は設けず、不足は責任者へ課題化する。</v>
      </c>
      <c r="T175" s="11" t="str">
        <f aca="false">TRIM(IF(INDEX(評価項目対応!$K$6:$K$236,$U175)="","","試験ID: "&amp;INDEX(評価項目対応!$K$6:$K$236,$U175)&amp;"　")&amp;IF(INDEX(評価項目対応!$L$6:$L$236,$U175)="","","判断理由: "&amp;INDEX(評価項目対応!$L$6:$L$236,$U175)))</f>
        <v/>
      </c>
      <c r="U175" s="28" t="n">
        <f aca="false">MATCH($A175,評価項目対応!$A$6:$A$236,0)</f>
        <v>169</v>
      </c>
      <c r="V175" s="28" t="str">
        <f aca="false">IFERROR(VLOOKUP(I175,$X$6:$Y$11,2,FALSE()),"")</f>
        <v/>
      </c>
    </row>
    <row r="176" customFormat="false" ht="105.75" hidden="false" customHeight="true" outlineLevel="0" collapsed="false">
      <c r="A176" s="13" t="n">
        <v>172</v>
      </c>
      <c r="B176" s="13" t="n">
        <f aca="false">INDEX(評価項目対応!$B$6:$B$236,$U176)</f>
        <v>192</v>
      </c>
      <c r="C176" s="13" t="str">
        <f aca="false">INDEX(評価項目対応!$F$6:$F$236,$U176)</f>
        <v>5.07a</v>
      </c>
      <c r="D176" s="11" t="str">
        <f aca="false">INDEX(評価項目対応!$D$6:$D$236,$U176)</f>
        <v>前兆マルウェア対策</v>
      </c>
      <c r="E176" s="11" t="str">
        <f aca="false">INDEX(評価項目対応!$E$6:$E$236,$U176)</f>
        <v>（悪意のあるアクターは、多くの場合、ポスト侵害アクティビティを不明
瞭にするためにランサムウェアバリアントをドロップする。）
バックアップから再構築する前に、このようなドロッパーマルウェアを特
定する。</v>
      </c>
      <c r="F176" s="13" t="str">
        <f aca="false">IF($D$4="","",$D$4)</f>
        <v/>
      </c>
      <c r="G176" s="13" t="str">
        <f aca="false">IFERROR(IF(INDEX(評価項目対応!$I$6:$I$236,$U176)="対象","対象",IF(INDEX(評価項目対応!$I$6:$I$236,$U176)="対象外（承認済）","対象外",IF(INDEX(評価項目対応!$I$6:$I$236,$U176)="未確定","n/a",""))),"")</f>
        <v>n/a</v>
      </c>
      <c r="H176" s="25" t="str">
        <f aca="false">IF(ISBLANK(J176),"",IF(J176=5,"Yes",IF(J176=4,"Yes","No")))</f>
        <v/>
      </c>
      <c r="I176" s="18"/>
      <c r="J176" s="26"/>
      <c r="K176" s="18"/>
      <c r="L176" s="18"/>
      <c r="M176" s="11" t="str">
        <f aca="false">IF(INDEX(評価項目対応!$J$6:$J$236,$U176)="","",INDEX(評価項目対応!$J$6:$J$236,$U176))</f>
        <v/>
      </c>
      <c r="N176" s="11" t="str">
        <f aca="false">IF(INDEX(評価項目対応!$N$6:$N$236,$U176)="","",INDEX(評価項目対応!$N$6:$N$236,$U176))</f>
        <v/>
      </c>
      <c r="O176" s="11" t="str">
        <f aca="false">IF(INDEX(評価項目対応!$O$6:$O$236,$U176)="","",INDEX(評価項目対応!$O$6:$O$236,$U176))</f>
        <v/>
      </c>
      <c r="P176" s="27" t="n">
        <f aca="false">COUNTIF(F176:G176,"")+COUNTIF(I176:O176,"")-IF(AND(G176="対象外",K176=""),1,0)</f>
        <v>8</v>
      </c>
      <c r="Q176" s="11" t="str">
        <f aca="false">IF(F176="","会社名コード未設定（D4）",IF(OR(G176="",G176="n/a"),"適用性を確定（評価項目対応I列）",IF(AND(G176="対象外",OR(I176&lt;&gt;"対象外",J176&lt;&gt;"n/a")),"対象外ならR=対象外・S=n/a",IF(AND(G176="対象",OR(I176="対象外",J176="n/a")),"対象なのにR／Sが対象外・n/a",IF(AND(G176="対象",OR(I176="",J176="")),"R・Sを入力",IF(AND(ISNUMBER(J176),ISNUMBER(V176),ABS(N(J176)-N(V176))&gt;=1),"RとSの乖離（案分ならUに明記）",IF(AND(G176="対象",L176=""),"Uに制約・代替策・未検証を記載",IF(AND(G176="対象外",L176=""),"対象外の理由・承認者をUに記載",IF(OR(M176="",N176="",O176=""),"V～Xを入力",IF(P176&gt;0,"未記入あり（P列）","OK"))))))))))</f>
        <v>会社名コード未設定（D4）</v>
      </c>
      <c r="R176" s="11" t="str">
        <f aca="false">IF(INDEX(評価項目対応!$M$6:$M$236,$U176)="","",INDEX(評価項目対応!$M$6:$M$236,$U176))</f>
        <v/>
      </c>
      <c r="S176" s="11" t="str">
        <f aca="false">INDEX(評価項目対応!$H$6:$H$236,$U176)</f>
        <v>既存IR手順・演習記録の該当箇所とChromeOS／クラウドの役割を確認する。新規の全社演習は設けず、不足は責任者へ課題化する。</v>
      </c>
      <c r="T176" s="11" t="str">
        <f aca="false">TRIM(IF(INDEX(評価項目対応!$K$6:$K$236,$U176)="","","試験ID: "&amp;INDEX(評価項目対応!$K$6:$K$236,$U176)&amp;"　")&amp;IF(INDEX(評価項目対応!$L$6:$L$236,$U176)="","","判断理由: "&amp;INDEX(評価項目対応!$L$6:$L$236,$U176)))</f>
        <v/>
      </c>
      <c r="U176" s="28" t="n">
        <f aca="false">MATCH($A176,評価項目対応!$A$6:$A$236,0)</f>
        <v>170</v>
      </c>
      <c r="V176" s="28" t="str">
        <f aca="false">IFERROR(VLOOKUP(I176,$X$6:$Y$11,2,FALSE()),"")</f>
        <v/>
      </c>
    </row>
    <row r="177" customFormat="false" ht="36" hidden="false" customHeight="true" outlineLevel="0" collapsed="false">
      <c r="A177" s="13" t="n">
        <v>173</v>
      </c>
      <c r="B177" s="13" t="n">
        <f aca="false">INDEX(評価項目対応!$B$6:$B$236,$U177)</f>
        <v>96</v>
      </c>
      <c r="C177" s="13" t="str">
        <f aca="false">INDEX(評価項目対応!$F$6:$F$236,$U177)</f>
        <v>4.03</v>
      </c>
      <c r="D177" s="11" t="str">
        <f aca="false">INDEX(評価項目対応!$D$6:$D$236,$U177)</f>
        <v>ファイアウォール</v>
      </c>
      <c r="E177" s="11" t="str">
        <f aca="false">INDEX(評価項目対応!$E$6:$E$236,$U177)</f>
        <v>ファイアウォールで不審なIPアドレスをブロックする。</v>
      </c>
      <c r="F177" s="13" t="str">
        <f aca="false">IF($D$4="","",$D$4)</f>
        <v/>
      </c>
      <c r="G177" s="13" t="str">
        <f aca="false">IFERROR(IF(INDEX(評価項目対応!$I$6:$I$236,$U177)="対象","対象",IF(INDEX(評価項目対応!$I$6:$I$236,$U177)="対象外（承認済）","対象外",IF(INDEX(評価項目対応!$I$6:$I$236,$U177)="未確定","n/a",""))),"")</f>
        <v>n/a</v>
      </c>
      <c r="H177" s="25" t="str">
        <f aca="false">IF(ISBLANK(J177),"",IF(J177=5,"Yes",IF(J177=4,"Yes","No")))</f>
        <v/>
      </c>
      <c r="I177" s="18"/>
      <c r="J177" s="26"/>
      <c r="K177" s="18"/>
      <c r="L177" s="18"/>
      <c r="M177" s="11" t="str">
        <f aca="false">IF(INDEX(評価項目対応!$J$6:$J$236,$U177)="","",INDEX(評価項目対応!$J$6:$J$236,$U177))</f>
        <v/>
      </c>
      <c r="N177" s="11" t="str">
        <f aca="false">IF(INDEX(評価項目対応!$N$6:$N$236,$U177)="","",INDEX(評価項目対応!$N$6:$N$236,$U177))</f>
        <v/>
      </c>
      <c r="O177" s="11" t="str">
        <f aca="false">IF(INDEX(評価項目対応!$O$6:$O$236,$U177)="","",INDEX(評価項目対応!$O$6:$O$236,$U177))</f>
        <v/>
      </c>
      <c r="P177" s="27" t="n">
        <f aca="false">COUNTIF(F177:G177,"")+COUNTIF(I177:O177,"")-IF(AND(G177="対象外",K177=""),1,0)</f>
        <v>8</v>
      </c>
      <c r="Q177" s="11" t="str">
        <f aca="false">IF(F177="","会社名コード未設定（D4）",IF(OR(G177="",G177="n/a"),"適用性を確定（評価項目対応I列）",IF(AND(G177="対象外",OR(I177&lt;&gt;"対象外",J177&lt;&gt;"n/a")),"対象外ならR=対象外・S=n/a",IF(AND(G177="対象",OR(I177="対象外",J177="n/a")),"対象なのにR／Sが対象外・n/a",IF(AND(G177="対象",OR(I177="",J177="")),"R・Sを入力",IF(AND(ISNUMBER(J177),ISNUMBER(V177),ABS(N(J177)-N(V177))&gt;=1),"RとSの乖離（案分ならUに明記）",IF(AND(G177="対象",L177=""),"Uに制約・代替策・未検証を記載",IF(AND(G177="対象外",L177=""),"対象外の理由・承認者をUに記載",IF(OR(M177="",N177="",O177=""),"V～Xを入力",IF(P177&gt;0,"未記入あり（P列）","OK"))))))))))</f>
        <v>会社名コード未設定（D4）</v>
      </c>
      <c r="R177" s="11" t="str">
        <f aca="false">IF(INDEX(評価項目対応!$M$6:$M$236,$U177)="","",INDEX(評価項目対応!$M$6:$M$236,$U177))</f>
        <v/>
      </c>
      <c r="S177" s="11" t="str">
        <f aca="false">INDEX(評価項目対応!$H$6:$H$236,$U177)</f>
        <v>会社・外部ネットワークの経路、VPN認証、DNS／FW制御と構成図の保管を確認する。</v>
      </c>
      <c r="T177" s="11" t="str">
        <f aca="false">TRIM(IF(INDEX(評価項目対応!$K$6:$K$236,$U177)="","","試験ID: "&amp;INDEX(評価項目対応!$K$6:$K$236,$U177)&amp;"　")&amp;IF(INDEX(評価項目対応!$L$6:$L$236,$U177)="","","判断理由: "&amp;INDEX(評価項目対応!$L$6:$L$236,$U177)))</f>
        <v/>
      </c>
      <c r="U177" s="28" t="n">
        <f aca="false">MATCH($A177,評価項目対応!$A$6:$A$236,0)</f>
        <v>171</v>
      </c>
      <c r="V177" s="28" t="str">
        <f aca="false">IFERROR(VLOOKUP(I177,$X$6:$Y$11,2,FALSE()),"")</f>
        <v/>
      </c>
    </row>
    <row r="178" customFormat="false" ht="63.75" hidden="false" customHeight="true" outlineLevel="0" collapsed="false">
      <c r="A178" s="13" t="n">
        <v>174</v>
      </c>
      <c r="B178" s="13" t="n">
        <f aca="false">INDEX(評価項目対応!$B$6:$B$236,$U178)</f>
        <v>24</v>
      </c>
      <c r="C178" s="13" t="str">
        <f aca="false">INDEX(評価項目対応!$F$6:$F$236,$U178)</f>
        <v>4.04c</v>
      </c>
      <c r="D178" s="11" t="str">
        <f aca="false">INDEX(評価項目対応!$D$6:$D$236,$U178)</f>
        <v>公開サービス制御</v>
      </c>
      <c r="E178" s="11" t="str">
        <f aca="false">INDEX(評価項目対応!$E$6:$E$236,$U178)</f>
        <v>リモートデスクトッププロトコル（RDP）などのサービスをWeb上に公開し
ない。</v>
      </c>
      <c r="F178" s="13" t="str">
        <f aca="false">IF($D$4="","",$D$4)</f>
        <v/>
      </c>
      <c r="G178" s="13" t="str">
        <f aca="false">IFERROR(IF(INDEX(評価項目対応!$I$6:$I$236,$U178)="対象","対象",IF(INDEX(評価項目対応!$I$6:$I$236,$U178)="対象外（承認済）","対象外",IF(INDEX(評価項目対応!$I$6:$I$236,$U178)="未確定","n/a",""))),"")</f>
        <v>n/a</v>
      </c>
      <c r="H178" s="25" t="str">
        <f aca="false">IF(ISBLANK(J178),"",IF(J178=5,"Yes",IF(J178=4,"Yes","No")))</f>
        <v/>
      </c>
      <c r="I178" s="18"/>
      <c r="J178" s="26"/>
      <c r="K178" s="18"/>
      <c r="L178" s="18"/>
      <c r="M178" s="11" t="str">
        <f aca="false">IF(INDEX(評価項目対応!$J$6:$J$236,$U178)="","",INDEX(評価項目対応!$J$6:$J$236,$U178))</f>
        <v/>
      </c>
      <c r="N178" s="11" t="str">
        <f aca="false">IF(INDEX(評価項目対応!$N$6:$N$236,$U178)="","",INDEX(評価項目対応!$N$6:$N$236,$U178))</f>
        <v/>
      </c>
      <c r="O178" s="11" t="str">
        <f aca="false">IF(INDEX(評価項目対応!$O$6:$O$236,$U178)="","",INDEX(評価項目対応!$O$6:$O$236,$U178))</f>
        <v/>
      </c>
      <c r="P178" s="27" t="n">
        <f aca="false">COUNTIF(F178:G178,"")+COUNTIF(I178:O178,"")-IF(AND(G178="対象外",K178=""),1,0)</f>
        <v>8</v>
      </c>
      <c r="Q178" s="11" t="str">
        <f aca="false">IF(F178="","会社名コード未設定（D4）",IF(OR(G178="",G178="n/a"),"適用性を確定（評価項目対応I列）",IF(AND(G178="対象外",OR(I178&lt;&gt;"対象外",J178&lt;&gt;"n/a")),"対象外ならR=対象外・S=n/a",IF(AND(G178="対象",OR(I178="対象外",J178="n/a")),"対象なのにR／Sが対象外・n/a",IF(AND(G178="対象",OR(I178="",J178="")),"R・Sを入力",IF(AND(ISNUMBER(J178),ISNUMBER(V178),ABS(N(J178)-N(V178))&gt;=1),"RとSの乖離（案分ならUに明記）",IF(AND(G178="対象",L178=""),"Uに制約・代替策・未検証を記載",IF(AND(G178="対象外",L178=""),"対象外の理由・承認者をUに記載",IF(OR(M178="",N178="",O178=""),"V～Xを入力",IF(P178&gt;0,"未記入あり（P列）","OK"))))))))))</f>
        <v>会社名コード未設定（D4）</v>
      </c>
      <c r="R178" s="11" t="str">
        <f aca="false">IF(INDEX(評価項目対応!$M$6:$M$236,$U178)="","",INDEX(評価項目対応!$M$6:$M$236,$U178))</f>
        <v/>
      </c>
      <c r="S178" s="11" t="str">
        <f aca="false">INDEX(評価項目対応!$H$6:$H$236,$U178)</f>
        <v>VDI・RDP・リモート環境・RMM・公開サービスの既存証跡を受領する。端末側のリモートアクセス系ツール（拡張・Android・Chrome Remote Desktop）の制御は3.03／3.04で確認する。</v>
      </c>
      <c r="T178" s="11" t="str">
        <f aca="false">TRIM(IF(INDEX(評価項目対応!$K$6:$K$236,$U178)="","","試験ID: "&amp;INDEX(評価項目対応!$K$6:$K$236,$U178)&amp;"　")&amp;IF(INDEX(評価項目対応!$L$6:$L$236,$U178)="","","判断理由: "&amp;INDEX(評価項目対応!$L$6:$L$236,$U178)))</f>
        <v/>
      </c>
      <c r="U178" s="28" t="n">
        <f aca="false">MATCH($A178,評価項目対応!$A$6:$A$236,0)</f>
        <v>172</v>
      </c>
      <c r="V178" s="28" t="str">
        <f aca="false">IFERROR(VLOOKUP(I178,$X$6:$Y$11,2,FALSE()),"")</f>
        <v/>
      </c>
    </row>
    <row r="179" customFormat="false" ht="63.75" hidden="false" customHeight="true" outlineLevel="0" collapsed="false">
      <c r="A179" s="13" t="n">
        <v>175</v>
      </c>
      <c r="B179" s="13" t="n">
        <f aca="false">INDEX(評価項目対応!$B$6:$B$236,$U179)</f>
        <v>25</v>
      </c>
      <c r="C179" s="13" t="str">
        <f aca="false">INDEX(評価項目対応!$F$6:$F$236,$U179)</f>
        <v>4.04c</v>
      </c>
      <c r="D179" s="11" t="str">
        <f aca="false">INDEX(評価項目対応!$D$6:$D$236,$U179)</f>
        <v>公開サービス制御</v>
      </c>
      <c r="E179" s="11" t="str">
        <f aca="false">INDEX(評価項目対応!$E$6:$E$236,$U179)</f>
        <v>これらのサービスを公開する必要がある場合は、一般的な悪用や悪用を防
ぐために適切な代償制御を適用する。</v>
      </c>
      <c r="F179" s="13" t="str">
        <f aca="false">IF($D$4="","",$D$4)</f>
        <v/>
      </c>
      <c r="G179" s="13" t="str">
        <f aca="false">IFERROR(IF(INDEX(評価項目対応!$I$6:$I$236,$U179)="対象","対象",IF(INDEX(評価項目対応!$I$6:$I$236,$U179)="対象外（承認済）","対象外",IF(INDEX(評価項目対応!$I$6:$I$236,$U179)="未確定","n/a",""))),"")</f>
        <v>n/a</v>
      </c>
      <c r="H179" s="25" t="str">
        <f aca="false">IF(ISBLANK(J179),"",IF(J179=5,"Yes",IF(J179=4,"Yes","No")))</f>
        <v/>
      </c>
      <c r="I179" s="18"/>
      <c r="J179" s="26"/>
      <c r="K179" s="18"/>
      <c r="L179" s="18"/>
      <c r="M179" s="11" t="str">
        <f aca="false">IF(INDEX(評価項目対応!$J$6:$J$236,$U179)="","",INDEX(評価項目対応!$J$6:$J$236,$U179))</f>
        <v/>
      </c>
      <c r="N179" s="11" t="str">
        <f aca="false">IF(INDEX(評価項目対応!$N$6:$N$236,$U179)="","",INDEX(評価項目対応!$N$6:$N$236,$U179))</f>
        <v/>
      </c>
      <c r="O179" s="11" t="str">
        <f aca="false">IF(INDEX(評価項目対応!$O$6:$O$236,$U179)="","",INDEX(評価項目対応!$O$6:$O$236,$U179))</f>
        <v/>
      </c>
      <c r="P179" s="27" t="n">
        <f aca="false">COUNTIF(F179:G179,"")+COUNTIF(I179:O179,"")-IF(AND(G179="対象外",K179=""),1,0)</f>
        <v>8</v>
      </c>
      <c r="Q179" s="11" t="str">
        <f aca="false">IF(F179="","会社名コード未設定（D4）",IF(OR(G179="",G179="n/a"),"適用性を確定（評価項目対応I列）",IF(AND(G179="対象外",OR(I179&lt;&gt;"対象外",J179&lt;&gt;"n/a")),"対象外ならR=対象外・S=n/a",IF(AND(G179="対象",OR(I179="対象外",J179="n/a")),"対象なのにR／Sが対象外・n/a",IF(AND(G179="対象",OR(I179="",J179="")),"R・Sを入力",IF(AND(ISNUMBER(J179),ISNUMBER(V179),ABS(N(J179)-N(V179))&gt;=1),"RとSの乖離（案分ならUに明記）",IF(AND(G179="対象",L179=""),"Uに制約・代替策・未検証を記載",IF(AND(G179="対象外",L179=""),"対象外の理由・承認者をUに記載",IF(OR(M179="",N179="",O179=""),"V～Xを入力",IF(P179&gt;0,"未記入あり（P列）","OK"))))))))))</f>
        <v>会社名コード未設定（D4）</v>
      </c>
      <c r="R179" s="11" t="str">
        <f aca="false">IF(INDEX(評価項目対応!$M$6:$M$236,$U179)="","",INDEX(評価項目対応!$M$6:$M$236,$U179))</f>
        <v/>
      </c>
      <c r="S179" s="11" t="str">
        <f aca="false">INDEX(評価項目対応!$H$6:$H$236,$U179)</f>
        <v>VDI・RDP・リモート環境・RMM・公開サービスの既存証跡を受領する。端末側のリモートアクセス系ツール（拡張・Android・Chrome Remote Desktop）の制御は3.03／3.04で確認する。</v>
      </c>
      <c r="T179" s="11" t="str">
        <f aca="false">TRIM(IF(INDEX(評価項目対応!$K$6:$K$236,$U179)="","","試験ID: "&amp;INDEX(評価項目対応!$K$6:$K$236,$U179)&amp;"　")&amp;IF(INDEX(評価項目対応!$L$6:$L$236,$U179)="","","判断理由: "&amp;INDEX(評価項目対応!$L$6:$L$236,$U179)))</f>
        <v/>
      </c>
      <c r="U179" s="28" t="n">
        <f aca="false">MATCH($A179,評価項目対応!$A$6:$A$236,0)</f>
        <v>173</v>
      </c>
      <c r="V179" s="28" t="str">
        <f aca="false">IFERROR(VLOOKUP(I179,$X$6:$Y$11,2,FALSE()),"")</f>
        <v/>
      </c>
    </row>
    <row r="180" customFormat="false" ht="49.5" hidden="false" customHeight="true" outlineLevel="0" collapsed="false">
      <c r="A180" s="13" t="n">
        <v>176</v>
      </c>
      <c r="B180" s="13" t="n">
        <f aca="false">INDEX(評価項目対応!$B$6:$B$236,$U180)</f>
        <v>26</v>
      </c>
      <c r="C180" s="13" t="str">
        <f aca="false">INDEX(評価項目対応!$F$6:$F$236,$U180)</f>
        <v>3.03</v>
      </c>
      <c r="D180" s="11" t="str">
        <f aca="false">INDEX(評価項目対応!$D$6:$D$236,$U180)</f>
        <v>不要機能無効化</v>
      </c>
      <c r="E180" s="11" t="str">
        <f aca="false">INDEX(評価項目対応!$E$6:$E$236,$U180)</f>
        <v>インターネットに接続されている資産では、すべての不要なOSアプリケー
ションを無効にする。</v>
      </c>
      <c r="F180" s="13" t="str">
        <f aca="false">IF($D$4="","",$D$4)</f>
        <v/>
      </c>
      <c r="G180" s="13" t="str">
        <f aca="false">IFERROR(IF(INDEX(評価項目対応!$I$6:$I$236,$U180)="対象","対象",IF(INDEX(評価項目対応!$I$6:$I$236,$U180)="対象外（承認済）","対象外",IF(INDEX(評価項目対応!$I$6:$I$236,$U180)="未確定","n/a",""))),"")</f>
        <v>n/a</v>
      </c>
      <c r="H180" s="25" t="str">
        <f aca="false">IF(ISBLANK(J180),"",IF(J180=5,"Yes",IF(J180=4,"Yes","No")))</f>
        <v/>
      </c>
      <c r="I180" s="18"/>
      <c r="J180" s="26"/>
      <c r="K180" s="18"/>
      <c r="L180" s="18"/>
      <c r="M180" s="11" t="str">
        <f aca="false">IF(INDEX(評価項目対応!$J$6:$J$236,$U180)="","",INDEX(評価項目対応!$J$6:$J$236,$U180))</f>
        <v/>
      </c>
      <c r="N180" s="11" t="str">
        <f aca="false">IF(INDEX(評価項目対応!$N$6:$N$236,$U180)="","",INDEX(評価項目対応!$N$6:$N$236,$U180))</f>
        <v/>
      </c>
      <c r="O180" s="11" t="str">
        <f aca="false">IF(INDEX(評価項目対応!$O$6:$O$236,$U180)="","",INDEX(評価項目対応!$O$6:$O$236,$U180))</f>
        <v/>
      </c>
      <c r="P180" s="27" t="n">
        <f aca="false">COUNTIF(F180:G180,"")+COUNTIF(I180:O180,"")-IF(AND(G180="対象外",K180=""),1,0)</f>
        <v>8</v>
      </c>
      <c r="Q180" s="11" t="str">
        <f aca="false">IF(F180="","会社名コード未設定（D4）",IF(OR(G180="",G180="n/a"),"適用性を確定（評価項目対応I列）",IF(AND(G180="対象外",OR(I180&lt;&gt;"対象外",J180&lt;&gt;"n/a")),"対象外ならR=対象外・S=n/a",IF(AND(G180="対象",OR(I180="対象外",J180="n/a")),"対象なのにR／Sが対象外・n/a",IF(AND(G180="対象",OR(I180="",J180="")),"R・Sを入力",IF(AND(ISNUMBER(J180),ISNUMBER(V180),ABS(N(J180)-N(V180))&gt;=1),"RとSの乖離（案分ならUに明記）",IF(AND(G180="対象",L180=""),"Uに制約・代替策・未検証を記載",IF(AND(G180="対象外",L180=""),"対象外の理由・承認者をUに記載",IF(OR(M180="",N180="",O180=""),"V～Xを入力",IF(P180&gt;0,"未記入あり（P列）","OK"))))))))))</f>
        <v>会社名コード未設定（D4）</v>
      </c>
      <c r="R180" s="11" t="str">
        <f aca="false">IF(INDEX(評価項目対応!$M$6:$M$236,$U180)="","",INDEX(評価項目対応!$M$6:$M$236,$U180))</f>
        <v/>
      </c>
      <c r="S180" s="11" t="str">
        <f aca="false">INDEX(評価項目対応!$H$6:$H$236,$U180)</f>
        <v>許可リスト・導入権限制限を確認する。Android／OAuthは3.04／3.05、EDR部分は3.09と併せて評価する。</v>
      </c>
      <c r="T180" s="11" t="str">
        <f aca="false">TRIM(IF(INDEX(評価項目対応!$K$6:$K$236,$U180)="","","試験ID: "&amp;INDEX(評価項目対応!$K$6:$K$236,$U180)&amp;"　")&amp;IF(INDEX(評価項目対応!$L$6:$L$236,$U180)="","","判断理由: "&amp;INDEX(評価項目対応!$L$6:$L$236,$U180)))</f>
        <v/>
      </c>
      <c r="U180" s="28" t="n">
        <f aca="false">MATCH($A180,評価項目対応!$A$6:$A$236,0)</f>
        <v>174</v>
      </c>
      <c r="V180" s="28" t="str">
        <f aca="false">IFERROR(VLOOKUP(I180,$X$6:$Y$11,2,FALSE()),"")</f>
        <v/>
      </c>
    </row>
    <row r="181" customFormat="false" ht="49.5" hidden="false" customHeight="true" outlineLevel="0" collapsed="false">
      <c r="A181" s="13" t="n">
        <v>177</v>
      </c>
      <c r="B181" s="13" t="n">
        <f aca="false">INDEX(評価項目対応!$B$6:$B$236,$U181)</f>
        <v>27</v>
      </c>
      <c r="C181" s="13" t="str">
        <f aca="false">INDEX(評価項目対応!$F$6:$F$236,$U181)</f>
        <v>4.03</v>
      </c>
      <c r="D181" s="11" t="str">
        <f aca="false">INDEX(評価項目対応!$D$6:$D$236,$U181)</f>
        <v>不要機能無効化</v>
      </c>
      <c r="E181" s="11" t="str">
        <f aca="false">INDEX(評価項目対応!$E$6:$E$236,$U181)</f>
        <v>インターネットに接続されている資産では、すべての不要なネットワーク
プロトコルを無効にする。</v>
      </c>
      <c r="F181" s="13" t="str">
        <f aca="false">IF($D$4="","",$D$4)</f>
        <v/>
      </c>
      <c r="G181" s="13" t="str">
        <f aca="false">IFERROR(IF(INDEX(評価項目対応!$I$6:$I$236,$U181)="対象","対象",IF(INDEX(評価項目対応!$I$6:$I$236,$U181)="対象外（承認済）","対象外",IF(INDEX(評価項目対応!$I$6:$I$236,$U181)="未確定","n/a",""))),"")</f>
        <v>n/a</v>
      </c>
      <c r="H181" s="25" t="str">
        <f aca="false">IF(ISBLANK(J181),"",IF(J181=5,"Yes",IF(J181=4,"Yes","No")))</f>
        <v/>
      </c>
      <c r="I181" s="18"/>
      <c r="J181" s="26"/>
      <c r="K181" s="18"/>
      <c r="L181" s="18"/>
      <c r="M181" s="11" t="str">
        <f aca="false">IF(INDEX(評価項目対応!$J$6:$J$236,$U181)="","",INDEX(評価項目対応!$J$6:$J$236,$U181))</f>
        <v/>
      </c>
      <c r="N181" s="11" t="str">
        <f aca="false">IF(INDEX(評価項目対応!$N$6:$N$236,$U181)="","",INDEX(評価項目対応!$N$6:$N$236,$U181))</f>
        <v/>
      </c>
      <c r="O181" s="11" t="str">
        <f aca="false">IF(INDEX(評価項目対応!$O$6:$O$236,$U181)="","",INDEX(評価項目対応!$O$6:$O$236,$U181))</f>
        <v/>
      </c>
      <c r="P181" s="27" t="n">
        <f aca="false">COUNTIF(F181:G181,"")+COUNTIF(I181:O181,"")-IF(AND(G181="対象外",K181=""),1,0)</f>
        <v>8</v>
      </c>
      <c r="Q181" s="11" t="str">
        <f aca="false">IF(F181="","会社名コード未設定（D4）",IF(OR(G181="",G181="n/a"),"適用性を確定（評価項目対応I列）",IF(AND(G181="対象外",OR(I181&lt;&gt;"対象外",J181&lt;&gt;"n/a")),"対象外ならR=対象外・S=n/a",IF(AND(G181="対象",OR(I181="対象外",J181="n/a")),"対象なのにR／Sが対象外・n/a",IF(AND(G181="対象",OR(I181="",J181="")),"R・Sを入力",IF(AND(ISNUMBER(J181),ISNUMBER(V181),ABS(N(J181)-N(V181))&gt;=1),"RとSの乖離（案分ならUに明記）",IF(AND(G181="対象",L181=""),"Uに制約・代替策・未検証を記載",IF(AND(G181="対象外",L181=""),"対象外の理由・承認者をUに記載",IF(OR(M181="",N181="",O181=""),"V～Xを入力",IF(P181&gt;0,"未記入あり（P列）","OK"))))))))))</f>
        <v>会社名コード未設定（D4）</v>
      </c>
      <c r="R181" s="11" t="str">
        <f aca="false">IF(INDEX(評価項目対応!$M$6:$M$236,$U181)="","",INDEX(評価項目対応!$M$6:$M$236,$U181))</f>
        <v/>
      </c>
      <c r="S181" s="11" t="str">
        <f aca="false">INDEX(評価項目対応!$H$6:$H$236,$U181)</f>
        <v>会社・外部ネットワークの経路、VPN認証、DNS／FW制御と構成図の保管を確認する。</v>
      </c>
      <c r="T181" s="11" t="str">
        <f aca="false">TRIM(IF(INDEX(評価項目対応!$K$6:$K$236,$U181)="","","試験ID: "&amp;INDEX(評価項目対応!$K$6:$K$236,$U181)&amp;"　")&amp;IF(INDEX(評価項目対応!$L$6:$L$236,$U181)="","","判断理由: "&amp;INDEX(評価項目対応!$L$6:$L$236,$U181)))</f>
        <v/>
      </c>
      <c r="U181" s="28" t="n">
        <f aca="false">MATCH($A181,評価項目対応!$A$6:$A$236,0)</f>
        <v>175</v>
      </c>
      <c r="V181" s="28" t="str">
        <f aca="false">IFERROR(VLOOKUP(I181,$X$6:$Y$11,2,FALSE()),"")</f>
        <v/>
      </c>
    </row>
    <row r="182" customFormat="false" ht="63.75" hidden="false" customHeight="true" outlineLevel="0" collapsed="false">
      <c r="A182" s="13" t="n">
        <v>178</v>
      </c>
      <c r="B182" s="13" t="n">
        <f aca="false">INDEX(評価項目対応!$B$6:$B$236,$U182)</f>
        <v>38</v>
      </c>
      <c r="C182" s="13" t="str">
        <f aca="false">INDEX(評価項目対応!$F$6:$F$236,$U182)</f>
        <v>4.04c</v>
      </c>
      <c r="D182" s="11" t="str">
        <f aca="false">INDEX(評価項目対応!$D$6:$D$236,$U182)</f>
        <v>不要機能無効化</v>
      </c>
      <c r="E182" s="11" t="str">
        <f aca="false">INDEX(評価項目対応!$E$6:$E$236,$U182)</f>
        <v>ビジネス目的で使用されていないポートやプロトコル（例：RDP - TCP ポ
ート3389）を無効にする。</v>
      </c>
      <c r="F182" s="13" t="str">
        <f aca="false">IF($D$4="","",$D$4)</f>
        <v/>
      </c>
      <c r="G182" s="13" t="str">
        <f aca="false">IFERROR(IF(INDEX(評価項目対応!$I$6:$I$236,$U182)="対象","対象",IF(INDEX(評価項目対応!$I$6:$I$236,$U182)="対象外（承認済）","対象外",IF(INDEX(評価項目対応!$I$6:$I$236,$U182)="未確定","n/a",""))),"")</f>
        <v>n/a</v>
      </c>
      <c r="H182" s="25" t="str">
        <f aca="false">IF(ISBLANK(J182),"",IF(J182=5,"Yes",IF(J182=4,"Yes","No")))</f>
        <v/>
      </c>
      <c r="I182" s="18"/>
      <c r="J182" s="26"/>
      <c r="K182" s="18"/>
      <c r="L182" s="18"/>
      <c r="M182" s="11" t="str">
        <f aca="false">IF(INDEX(評価項目対応!$J$6:$J$236,$U182)="","",INDEX(評価項目対応!$J$6:$J$236,$U182))</f>
        <v/>
      </c>
      <c r="N182" s="11" t="str">
        <f aca="false">IF(INDEX(評価項目対応!$N$6:$N$236,$U182)="","",INDEX(評価項目対応!$N$6:$N$236,$U182))</f>
        <v/>
      </c>
      <c r="O182" s="11" t="str">
        <f aca="false">IF(INDEX(評価項目対応!$O$6:$O$236,$U182)="","",INDEX(評価項目対応!$O$6:$O$236,$U182))</f>
        <v/>
      </c>
      <c r="P182" s="27" t="n">
        <f aca="false">COUNTIF(F182:G182,"")+COUNTIF(I182:O182,"")-IF(AND(G182="対象外",K182=""),1,0)</f>
        <v>8</v>
      </c>
      <c r="Q182" s="11" t="str">
        <f aca="false">IF(F182="","会社名コード未設定（D4）",IF(OR(G182="",G182="n/a"),"適用性を確定（評価項目対応I列）",IF(AND(G182="対象外",OR(I182&lt;&gt;"対象外",J182&lt;&gt;"n/a")),"対象外ならR=対象外・S=n/a",IF(AND(G182="対象",OR(I182="対象外",J182="n/a")),"対象なのにR／Sが対象外・n/a",IF(AND(G182="対象",OR(I182="",J182="")),"R・Sを入力",IF(AND(ISNUMBER(J182),ISNUMBER(V182),ABS(N(J182)-N(V182))&gt;=1),"RとSの乖離（案分ならUに明記）",IF(AND(G182="対象",L182=""),"Uに制約・代替策・未検証を記載",IF(AND(G182="対象外",L182=""),"対象外の理由・承認者をUに記載",IF(OR(M182="",N182="",O182=""),"V～Xを入力",IF(P182&gt;0,"未記入あり（P列）","OK"))))))))))</f>
        <v>会社名コード未設定（D4）</v>
      </c>
      <c r="R182" s="11" t="str">
        <f aca="false">IF(INDEX(評価項目対応!$M$6:$M$236,$U182)="","",INDEX(評価項目対応!$M$6:$M$236,$U182))</f>
        <v/>
      </c>
      <c r="S182" s="11" t="str">
        <f aca="false">INDEX(評価項目対応!$H$6:$H$236,$U182)</f>
        <v>VDI・RDP・リモート環境・RMM・公開サービスの既存証跡を受領する。端末側のリモートアクセス系ツール（拡張・Android・Chrome Remote Desktop）の制御は3.03／3.04で確認する。</v>
      </c>
      <c r="T182" s="11" t="str">
        <f aca="false">TRIM(IF(INDEX(評価項目対応!$K$6:$K$236,$U182)="","","試験ID: "&amp;INDEX(評価項目対応!$K$6:$K$236,$U182)&amp;"　")&amp;IF(INDEX(評価項目対応!$L$6:$L$236,$U182)="","","判断理由: "&amp;INDEX(評価項目対応!$L$6:$L$236,$U182)))</f>
        <v/>
      </c>
      <c r="U182" s="28" t="n">
        <f aca="false">MATCH($A182,評価項目対応!$A$6:$A$236,0)</f>
        <v>176</v>
      </c>
      <c r="V182" s="28" t="str">
        <f aca="false">IFERROR(VLOOKUP(I182,$X$6:$Y$11,2,FALSE()),"")</f>
        <v/>
      </c>
    </row>
    <row r="183" customFormat="false" ht="63.75" hidden="false" customHeight="true" outlineLevel="0" collapsed="false">
      <c r="A183" s="13" t="n">
        <v>179</v>
      </c>
      <c r="B183" s="13" t="n">
        <f aca="false">INDEX(評価項目対応!$B$6:$B$236,$U183)</f>
        <v>160</v>
      </c>
      <c r="C183" s="13" t="str">
        <f aca="false">INDEX(評価項目対応!$F$6:$F$236,$U183)</f>
        <v>4.04a</v>
      </c>
      <c r="D183" s="11" t="str">
        <f aca="false">INDEX(評価項目対応!$D$6:$D$236,$U183)</f>
        <v>データセンター管理</v>
      </c>
      <c r="E183" s="11" t="str">
        <f aca="false">INDEX(評価項目対応!$E$6:$E$236,$U183)</f>
        <v>データセンターホストファイアウォールを設定して、インターネットアク
セスを防止する。</v>
      </c>
      <c r="F183" s="13" t="str">
        <f aca="false">IF($D$4="","",$D$4)</f>
        <v/>
      </c>
      <c r="G183" s="13" t="str">
        <f aca="false">IFERROR(IF(INDEX(評価項目対応!$I$6:$I$236,$U183)="対象","対象",IF(INDEX(評価項目対応!$I$6:$I$236,$U183)="対象外（承認済）","対象外",IF(INDEX(評価項目対応!$I$6:$I$236,$U183)="未確定","n/a",""))),"")</f>
        <v>n/a</v>
      </c>
      <c r="H183" s="25" t="str">
        <f aca="false">IF(ISBLANK(J183),"",IF(J183=5,"Yes",IF(J183=4,"Yes","No")))</f>
        <v/>
      </c>
      <c r="I183" s="18"/>
      <c r="J183" s="26"/>
      <c r="K183" s="18"/>
      <c r="L183" s="18"/>
      <c r="M183" s="11" t="str">
        <f aca="false">IF(INDEX(評価項目対応!$J$6:$J$236,$U183)="","",INDEX(評価項目対応!$J$6:$J$236,$U183))</f>
        <v/>
      </c>
      <c r="N183" s="11" t="str">
        <f aca="false">IF(INDEX(評価項目対応!$N$6:$N$236,$U183)="","",INDEX(評価項目対応!$N$6:$N$236,$U183))</f>
        <v/>
      </c>
      <c r="O183" s="11" t="str">
        <f aca="false">IF(INDEX(評価項目対応!$O$6:$O$236,$U183)="","",INDEX(評価項目対応!$O$6:$O$236,$U183))</f>
        <v/>
      </c>
      <c r="P183" s="27" t="n">
        <f aca="false">COUNTIF(F183:G183,"")+COUNTIF(I183:O183,"")-IF(AND(G183="対象外",K183=""),1,0)</f>
        <v>8</v>
      </c>
      <c r="Q183" s="11" t="str">
        <f aca="false">IF(F183="","会社名コード未設定（D4）",IF(OR(G183="",G183="n/a"),"適用性を確定（評価項目対応I列）",IF(AND(G183="対象外",OR(I183&lt;&gt;"対象外",J183&lt;&gt;"n/a")),"対象外ならR=対象外・S=n/a",IF(AND(G183="対象",OR(I183="対象外",J183="n/a")),"対象なのにR／Sが対象外・n/a",IF(AND(G183="対象",OR(I183="",J183="")),"R・Sを入力",IF(AND(ISNUMBER(J183),ISNUMBER(V183),ABS(N(J183)-N(V183))&gt;=1),"RとSの乖離（案分ならUに明記）",IF(AND(G183="対象",L183=""),"Uに制約・代替策・未検証を記載",IF(AND(G183="対象外",L183=""),"対象外の理由・承認者をUに記載",IF(OR(M183="",N183="",O183=""),"V～Xを入力",IF(P183&gt;0,"未記入あり（P列）","OK"))))))))))</f>
        <v>会社名コード未設定（D4）</v>
      </c>
      <c r="R183" s="11" t="str">
        <f aca="false">IF(INDEX(評価項目対応!$M$6:$M$236,$U183)="","",INDEX(評価項目対応!$M$6:$M$236,$U183))</f>
        <v/>
      </c>
      <c r="S183" s="11" t="str">
        <f aca="false">INDEX(評価項目対応!$H$6:$H$236,$U183)</f>
        <v>原票の「データセンター」表記は原文のDC（Domain Controller）の訳。ADドメインコントローラーの設定・パッチ・監視の既存証跡を担当者から受領する。ChromeOS利用だけで対象外にしない。</v>
      </c>
      <c r="T183" s="11" t="str">
        <f aca="false">TRIM(IF(INDEX(評価項目対応!$K$6:$K$236,$U183)="","","試験ID: "&amp;INDEX(評価項目対応!$K$6:$K$236,$U183)&amp;"　")&amp;IF(INDEX(評価項目対応!$L$6:$L$236,$U183)="","","判断理由: "&amp;INDEX(評価項目対応!$L$6:$L$236,$U183)))</f>
        <v/>
      </c>
      <c r="U183" s="28" t="n">
        <f aca="false">MATCH($A183,評価項目対応!$A$6:$A$236,0)</f>
        <v>177</v>
      </c>
      <c r="V183" s="28" t="str">
        <f aca="false">IFERROR(VLOOKUP(I183,$X$6:$Y$11,2,FALSE()),"")</f>
        <v/>
      </c>
    </row>
    <row r="184" customFormat="false" ht="91.5" hidden="false" customHeight="true" outlineLevel="0" collapsed="false">
      <c r="A184" s="13" t="n">
        <v>180</v>
      </c>
      <c r="B184" s="13" t="n">
        <f aca="false">INDEX(評価項目対応!$B$6:$B$236,$U184)</f>
        <v>161</v>
      </c>
      <c r="C184" s="13" t="str">
        <f aca="false">INDEX(評価項目対応!$F$6:$F$236,$U184)</f>
        <v>4.04a</v>
      </c>
      <c r="D184" s="11" t="str">
        <f aca="false">INDEX(評価項目対応!$D$6:$D$236,$U184)</f>
        <v>データセンター管理</v>
      </c>
      <c r="E184" s="11" t="str">
        <f aca="false">INDEX(評価項目対応!$E$6:$E$236,$U184)</f>
        <v>データセンターはインターネットへ直接アクセスしない。
(インターネット接続のあるサーバーを使用して、DC にインターネットア
クセスを許可する代わりに必要な更新を取得できる。)</v>
      </c>
      <c r="F184" s="13" t="str">
        <f aca="false">IF($D$4="","",$D$4)</f>
        <v/>
      </c>
      <c r="G184" s="13" t="str">
        <f aca="false">IFERROR(IF(INDEX(評価項目対応!$I$6:$I$236,$U184)="対象","対象",IF(INDEX(評価項目対応!$I$6:$I$236,$U184)="対象外（承認済）","対象外",IF(INDEX(評価項目対応!$I$6:$I$236,$U184)="未確定","n/a",""))),"")</f>
        <v>n/a</v>
      </c>
      <c r="H184" s="25" t="str">
        <f aca="false">IF(ISBLANK(J184),"",IF(J184=5,"Yes",IF(J184=4,"Yes","No")))</f>
        <v/>
      </c>
      <c r="I184" s="18"/>
      <c r="J184" s="26"/>
      <c r="K184" s="18"/>
      <c r="L184" s="18"/>
      <c r="M184" s="11" t="str">
        <f aca="false">IF(INDEX(評価項目対応!$J$6:$J$236,$U184)="","",INDEX(評価項目対応!$J$6:$J$236,$U184))</f>
        <v/>
      </c>
      <c r="N184" s="11" t="str">
        <f aca="false">IF(INDEX(評価項目対応!$N$6:$N$236,$U184)="","",INDEX(評価項目対応!$N$6:$N$236,$U184))</f>
        <v/>
      </c>
      <c r="O184" s="11" t="str">
        <f aca="false">IF(INDEX(評価項目対応!$O$6:$O$236,$U184)="","",INDEX(評価項目対応!$O$6:$O$236,$U184))</f>
        <v/>
      </c>
      <c r="P184" s="27" t="n">
        <f aca="false">COUNTIF(F184:G184,"")+COUNTIF(I184:O184,"")-IF(AND(G184="対象外",K184=""),1,0)</f>
        <v>8</v>
      </c>
      <c r="Q184" s="11" t="str">
        <f aca="false">IF(F184="","会社名コード未設定（D4）",IF(OR(G184="",G184="n/a"),"適用性を確定（評価項目対応I列）",IF(AND(G184="対象外",OR(I184&lt;&gt;"対象外",J184&lt;&gt;"n/a")),"対象外ならR=対象外・S=n/a",IF(AND(G184="対象",OR(I184="対象外",J184="n/a")),"対象なのにR／Sが対象外・n/a",IF(AND(G184="対象",OR(I184="",J184="")),"R・Sを入力",IF(AND(ISNUMBER(J184),ISNUMBER(V184),ABS(N(J184)-N(V184))&gt;=1),"RとSの乖離（案分ならUに明記）",IF(AND(G184="対象",L184=""),"Uに制約・代替策・未検証を記載",IF(AND(G184="対象外",L184=""),"対象外の理由・承認者をUに記載",IF(OR(M184="",N184="",O184=""),"V～Xを入力",IF(P184&gt;0,"未記入あり（P列）","OK"))))))))))</f>
        <v>会社名コード未設定（D4）</v>
      </c>
      <c r="R184" s="11" t="str">
        <f aca="false">IF(INDEX(評価項目対応!$M$6:$M$236,$U184)="","",INDEX(評価項目対応!$M$6:$M$236,$U184))</f>
        <v/>
      </c>
      <c r="S184" s="11" t="str">
        <f aca="false">INDEX(評価項目対応!$H$6:$H$236,$U184)</f>
        <v>原票の「データセンター」表記は原文のDC（Domain Controller）の訳。ADドメインコントローラーの設定・パッチ・監視の既存証跡を担当者から受領する。ChromeOS利用だけで対象外にしない。</v>
      </c>
      <c r="T184" s="11" t="str">
        <f aca="false">TRIM(IF(INDEX(評価項目対応!$K$6:$K$236,$U184)="","","試験ID: "&amp;INDEX(評価項目対応!$K$6:$K$236,$U184)&amp;"　")&amp;IF(INDEX(評価項目対応!$L$6:$L$236,$U184)="","","判断理由: "&amp;INDEX(評価項目対応!$L$6:$L$236,$U184)))</f>
        <v/>
      </c>
      <c r="U184" s="28" t="n">
        <f aca="false">MATCH($A184,評価項目対応!$A$6:$A$236,0)</f>
        <v>178</v>
      </c>
      <c r="V184" s="28" t="str">
        <f aca="false">IFERROR(VLOOKUP(I184,$X$6:$Y$11,2,FALSE()),"")</f>
        <v/>
      </c>
    </row>
    <row r="185" customFormat="false" ht="91.5" hidden="false" customHeight="true" outlineLevel="0" collapsed="false">
      <c r="A185" s="13" t="n">
        <v>181</v>
      </c>
      <c r="B185" s="13" t="n">
        <f aca="false">INDEX(評価項目対応!$B$6:$B$236,$U185)</f>
        <v>142</v>
      </c>
      <c r="C185" s="13" t="str">
        <f aca="false">INDEX(評価項目対応!$F$6:$F$236,$U185)</f>
        <v>4.04c</v>
      </c>
      <c r="D185" s="11" t="str">
        <f aca="false">INDEX(評価項目対応!$D$6:$D$236,$U185)</f>
        <v>RMM管理</v>
      </c>
      <c r="E185" s="11" t="str">
        <f aca="false">INDEX(評価項目対応!$E$6:$E$236,$U185)</f>
        <v>許可されたRMMソリューションはVPNやVDI経由での利用に限定し、未承認
のRMM接続は境界でブロックする。</v>
      </c>
      <c r="F185" s="13" t="str">
        <f aca="false">IF($D$4="","",$D$4)</f>
        <v/>
      </c>
      <c r="G185" s="13" t="str">
        <f aca="false">IFERROR(IF(INDEX(評価項目対応!$I$6:$I$236,$U185)="対象","対象",IF(INDEX(評価項目対応!$I$6:$I$236,$U185)="対象外（承認済）","対象外",IF(INDEX(評価項目対応!$I$6:$I$236,$U185)="未確定","n/a",""))),"")</f>
        <v>n/a</v>
      </c>
      <c r="H185" s="25" t="str">
        <f aca="false">IF(ISBLANK(J185),"",IF(J185=5,"Yes",IF(J185=4,"Yes","No")))</f>
        <v/>
      </c>
      <c r="I185" s="18"/>
      <c r="J185" s="26"/>
      <c r="K185" s="18"/>
      <c r="L185" s="18"/>
      <c r="M185" s="11" t="str">
        <f aca="false">IF(INDEX(評価項目対応!$J$6:$J$236,$U185)="","",INDEX(評価項目対応!$J$6:$J$236,$U185))</f>
        <v/>
      </c>
      <c r="N185" s="11" t="str">
        <f aca="false">IF(INDEX(評価項目対応!$N$6:$N$236,$U185)="","",INDEX(評価項目対応!$N$6:$N$236,$U185))</f>
        <v/>
      </c>
      <c r="O185" s="11" t="str">
        <f aca="false">IF(INDEX(評価項目対応!$O$6:$O$236,$U185)="","",INDEX(評価項目対応!$O$6:$O$236,$U185))</f>
        <v/>
      </c>
      <c r="P185" s="27" t="n">
        <f aca="false">COUNTIF(F185:G185,"")+COUNTIF(I185:O185,"")-IF(AND(G185="対象外",K185=""),1,0)</f>
        <v>8</v>
      </c>
      <c r="Q185" s="11" t="str">
        <f aca="false">IF(F185="","会社名コード未設定（D4）",IF(OR(G185="",G185="n/a"),"適用性を確定（評価項目対応I列）",IF(AND(G185="対象外",OR(I185&lt;&gt;"対象外",J185&lt;&gt;"n/a")),"対象外ならR=対象外・S=n/a",IF(AND(G185="対象",OR(I185="対象外",J185="n/a")),"対象なのにR／Sが対象外・n/a",IF(AND(G185="対象",OR(I185="",J185="")),"R・Sを入力",IF(AND(ISNUMBER(J185),ISNUMBER(V185),ABS(N(J185)-N(V185))&gt;=1),"RとSの乖離（案分ならUに明記）",IF(AND(G185="対象",L185=""),"Uに制約・代替策・未検証を記載",IF(AND(G185="対象外",L185=""),"対象外の理由・承認者をUに記載",IF(OR(M185="",N185="",O185=""),"V～Xを入力",IF(P185&gt;0,"未記入あり（P列）","OK"))))))))))</f>
        <v>会社名コード未設定（D4）</v>
      </c>
      <c r="R185" s="11" t="str">
        <f aca="false">IF(INDEX(評価項目対応!$M$6:$M$236,$U185)="","",INDEX(評価項目対応!$M$6:$M$236,$U185))</f>
        <v>3.03, 3.04</v>
      </c>
      <c r="S185" s="11" t="str">
        <f aca="false">INDEX(評価項目対応!$H$6:$H$236,$U185)</f>
        <v>VDI・RDP・リモート環境・RMM・公開サービスの既存証跡を受領する。端末側のリモートアクセス系ツール（拡張・Android・Chrome Remote Desktop）の制御は3.03／3.04で確認する。 端末側のリモートアクセス系ツール（拡張・PWA・Androidアプリ・Chrome Remote Desktop）の制御（3.03／3.04）も根拠にする。</v>
      </c>
      <c r="T185" s="11" t="str">
        <f aca="false">TRIM(IF(INDEX(評価項目対応!$K$6:$K$236,$U185)="","","試験ID: "&amp;INDEX(評価項目対応!$K$6:$K$236,$U185)&amp;"　")&amp;IF(INDEX(評価項目対応!$L$6:$L$236,$U185)="","","判断理由: "&amp;INDEX(評価項目対応!$L$6:$L$236,$U185)))</f>
        <v/>
      </c>
      <c r="U185" s="28" t="n">
        <f aca="false">MATCH($A185,評価項目対応!$A$6:$A$236,0)</f>
        <v>179</v>
      </c>
      <c r="V185" s="28" t="str">
        <f aca="false">IFERROR(VLOOKUP(I185,$X$6:$Y$11,2,FALSE()),"")</f>
        <v/>
      </c>
    </row>
    <row r="186" customFormat="false" ht="78" hidden="false" customHeight="true" outlineLevel="0" collapsed="false">
      <c r="A186" s="13" t="n">
        <v>182</v>
      </c>
      <c r="B186" s="13" t="n">
        <f aca="false">INDEX(評価項目対応!$B$6:$B$236,$U186)</f>
        <v>178</v>
      </c>
      <c r="C186" s="13" t="str">
        <f aca="false">INDEX(評価項目対応!$F$6:$F$236,$U186)</f>
        <v>4.01</v>
      </c>
      <c r="D186" s="11" t="str">
        <f aca="false">INDEX(評価項目対応!$D$6:$D$236,$U186)</f>
        <v>ブラウザ設定</v>
      </c>
      <c r="E186" s="11" t="str">
        <f aca="false">INDEX(評価項目対応!$E$6:$E$236,$U186)</f>
        <v>ブラウジング中の追加の防御層として、ブラウザベースのAVを有効にして
アクティブスキャンを行う。</v>
      </c>
      <c r="F186" s="13" t="str">
        <f aca="false">IF($D$4="","",$D$4)</f>
        <v/>
      </c>
      <c r="G186" s="13" t="str">
        <f aca="false">IFERROR(IF(INDEX(評価項目対応!$I$6:$I$236,$U186)="対象","対象",IF(INDEX(評価項目対応!$I$6:$I$236,$U186)="対象外（承認済）","対象外",IF(INDEX(評価項目対応!$I$6:$I$236,$U186)="未確定","n/a",""))),"")</f>
        <v>n/a</v>
      </c>
      <c r="H186" s="25" t="str">
        <f aca="false">IF(ISBLANK(J186),"",IF(J186=5,"Yes",IF(J186=4,"Yes","No")))</f>
        <v/>
      </c>
      <c r="I186" s="18"/>
      <c r="J186" s="26"/>
      <c r="K186" s="18"/>
      <c r="L186" s="18"/>
      <c r="M186" s="11" t="str">
        <f aca="false">IF(INDEX(評価項目対応!$J$6:$J$236,$U186)="","",INDEX(評価項目対応!$J$6:$J$236,$U186))</f>
        <v/>
      </c>
      <c r="N186" s="11" t="str">
        <f aca="false">IF(INDEX(評価項目対応!$N$6:$N$236,$U186)="","",INDEX(評価項目対応!$N$6:$N$236,$U186))</f>
        <v/>
      </c>
      <c r="O186" s="11" t="str">
        <f aca="false">IF(INDEX(評価項目対応!$O$6:$O$236,$U186)="","",INDEX(評価項目対応!$O$6:$O$236,$U186))</f>
        <v/>
      </c>
      <c r="P186" s="27" t="n">
        <f aca="false">COUNTIF(F186:G186,"")+COUNTIF(I186:O186,"")-IF(AND(G186="対象外",K186=""),1,0)</f>
        <v>8</v>
      </c>
      <c r="Q186" s="11" t="str">
        <f aca="false">IF(F186="","会社名コード未設定（D4）",IF(OR(G186="",G186="n/a"),"適用性を確定（評価項目対応I列）",IF(AND(G186="対象外",OR(I186&lt;&gt;"対象外",J186&lt;&gt;"n/a")),"対象外ならR=対象外・S=n/a",IF(AND(G186="対象",OR(I186="対象外",J186="n/a")),"対象なのにR／Sが対象外・n/a",IF(AND(G186="対象",OR(I186="",J186="")),"R・Sを入力",IF(AND(ISNUMBER(J186),ISNUMBER(V186),ABS(N(J186)-N(V186))&gt;=1),"RとSの乖離（案分ならUに明記）",IF(AND(G186="対象",L186=""),"Uに制約・代替策・未検証を記載",IF(AND(G186="対象外",L186=""),"対象外の理由・承認者をUに記載",IF(OR(M186="",N186="",O186=""),"V～Xを入力",IF(P186&gt;0,"未記入あり（P列）","OK"))))))))))</f>
        <v>会社名コード未設定（D4）</v>
      </c>
      <c r="R186" s="11" t="str">
        <f aca="false">IF(INDEX(評価項目対応!$M$6:$M$236,$U186)="","",INDEX(評価項目対応!$M$6:$M$236,$U186))</f>
        <v/>
      </c>
      <c r="S186" s="11" t="str">
        <f aca="false">INDEX(評価項目対応!$H$6:$H$236,$U186)</f>
        <v>原票の「ブラウザ型AVによる能動スキャン」は、ChromeOSではSafe Browsing（強化モード）、悪意あるダウンロードの遮断、警告回避の禁止で代替する。従来型AVとは機能が異なるため、同等ではなく「代替実装＋差異」として記録する。</v>
      </c>
      <c r="T186" s="11" t="str">
        <f aca="false">TRIM(IF(INDEX(評価項目対応!$K$6:$K$236,$U186)="","","試験ID: "&amp;INDEX(評価項目対応!$K$6:$K$236,$U186)&amp;"　")&amp;IF(INDEX(評価項目対応!$L$6:$L$236,$U186)="","","判断理由: "&amp;INDEX(評価項目対応!$L$6:$L$236,$U186)))</f>
        <v/>
      </c>
      <c r="U186" s="28" t="n">
        <f aca="false">MATCH($A186,評価項目対応!$A$6:$A$236,0)</f>
        <v>180</v>
      </c>
      <c r="V186" s="28" t="str">
        <f aca="false">IFERROR(VLOOKUP(I186,$X$6:$Y$11,2,FALSE()),"")</f>
        <v/>
      </c>
    </row>
    <row r="187" customFormat="false" ht="63.75" hidden="false" customHeight="true" outlineLevel="0" collapsed="false">
      <c r="A187" s="13" t="n">
        <v>183</v>
      </c>
      <c r="B187" s="13" t="n">
        <f aca="false">INDEX(評価項目対応!$B$6:$B$236,$U187)</f>
        <v>174</v>
      </c>
      <c r="C187" s="13" t="str">
        <f aca="false">INDEX(評価項目対応!$F$6:$F$236,$U187)</f>
        <v>3.09</v>
      </c>
      <c r="D187" s="11" t="str">
        <f aca="false">INDEX(評価項目対応!$D$6:$D$236,$U187)</f>
        <v>ログ管理</v>
      </c>
      <c r="E187" s="11" t="str">
        <f aca="false">INDEX(評価項目対応!$E$6:$E$236,$U187)</f>
        <v>行動分析のために、特定または重要なアプリケーションに関連するアクテ
ィビティのビジネストランザクションロギングの使用を検討する。</v>
      </c>
      <c r="F187" s="13" t="str">
        <f aca="false">IF($D$4="","",$D$4)</f>
        <v/>
      </c>
      <c r="G187" s="13" t="str">
        <f aca="false">IFERROR(IF(INDEX(評価項目対応!$I$6:$I$236,$U187)="対象","対象",IF(INDEX(評価項目対応!$I$6:$I$236,$U187)="対象外（承認済）","対象外",IF(INDEX(評価項目対応!$I$6:$I$236,$U187)="未確定","n/a",""))),"")</f>
        <v>n/a</v>
      </c>
      <c r="H187" s="25" t="str">
        <f aca="false">IF(ISBLANK(J187),"",IF(J187=5,"Yes",IF(J187=4,"Yes","No")))</f>
        <v/>
      </c>
      <c r="I187" s="18"/>
      <c r="J187" s="26"/>
      <c r="K187" s="18"/>
      <c r="L187" s="18"/>
      <c r="M187" s="11" t="str">
        <f aca="false">IF(INDEX(評価項目対応!$J$6:$J$236,$U187)="","",INDEX(評価項目対応!$J$6:$J$236,$U187))</f>
        <v/>
      </c>
      <c r="N187" s="11" t="str">
        <f aca="false">IF(INDEX(評価項目対応!$N$6:$N$236,$U187)="","",INDEX(評価項目対応!$N$6:$N$236,$U187))</f>
        <v/>
      </c>
      <c r="O187" s="11" t="str">
        <f aca="false">IF(INDEX(評価項目対応!$O$6:$O$236,$U187)="","",INDEX(評価項目対応!$O$6:$O$236,$U187))</f>
        <v/>
      </c>
      <c r="P187" s="27" t="n">
        <f aca="false">COUNTIF(F187:G187,"")+COUNTIF(I187:O187,"")-IF(AND(G187="対象外",K187=""),1,0)</f>
        <v>8</v>
      </c>
      <c r="Q187" s="11" t="str">
        <f aca="false">IF(F187="","会社名コード未設定（D4）",IF(OR(G187="",G187="n/a"),"適用性を確定（評価項目対応I列）",IF(AND(G187="対象外",OR(I187&lt;&gt;"対象外",J187&lt;&gt;"n/a")),"対象外ならR=対象外・S=n/a",IF(AND(G187="対象",OR(I187="対象外",J187="n/a")),"対象なのにR／Sが対象外・n/a",IF(AND(G187="対象",OR(I187="",J187="")),"R・Sを入力",IF(AND(ISNUMBER(J187),ISNUMBER(V187),ABS(N(J187)-N(V187))&gt;=1),"RとSの乖離（案分ならUに明記）",IF(AND(G187="対象",L187=""),"Uに制約・代替策・未検証を記載",IF(AND(G187="対象外",L187=""),"対象外の理由・承認者をUに記載",IF(OR(M187="",N187="",O187=""),"V～Xを入力",IF(P187&gt;0,"未記入あり（P列）","OK"))))))))))</f>
        <v>会社名コード未設定（D4）</v>
      </c>
      <c r="R187" s="11" t="str">
        <f aca="false">IF(INDEX(評価項目対応!$M$6:$M$236,$U187)="","",INDEX(評価項目対応!$M$6:$M$236,$U187))</f>
        <v/>
      </c>
      <c r="S187" s="11" t="str">
        <f aca="false">INDEX(評価項目対応!$H$6:$H$236,$U187)</f>
        <v>公式アーキテクチャ・既存対策により原要求との差分を説明する。実マルウェア試験は行わず、代替策は安全評価責任者の受容判断を得る。</v>
      </c>
      <c r="T187" s="11" t="str">
        <f aca="false">TRIM(IF(INDEX(評価項目対応!$K$6:$K$236,$U187)="","","試験ID: "&amp;INDEX(評価項目対応!$K$6:$K$236,$U187)&amp;"　")&amp;IF(INDEX(評価項目対応!$L$6:$L$236,$U187)="","","判断理由: "&amp;INDEX(評価項目対応!$L$6:$L$236,$U187)))</f>
        <v/>
      </c>
      <c r="U187" s="28" t="n">
        <f aca="false">MATCH($A187,評価項目対応!$A$6:$A$236,0)</f>
        <v>181</v>
      </c>
      <c r="V187" s="28" t="str">
        <f aca="false">IFERROR(VLOOKUP(I187,$X$6:$Y$11,2,FALSE()),"")</f>
        <v/>
      </c>
    </row>
    <row r="188" customFormat="false" ht="91.5" hidden="false" customHeight="true" outlineLevel="0" collapsed="false">
      <c r="A188" s="13" t="n">
        <v>184</v>
      </c>
      <c r="B188" s="13" t="n">
        <f aca="false">INDEX(評価項目対応!$B$6:$B$236,$U188)</f>
        <v>108</v>
      </c>
      <c r="C188" s="13" t="str">
        <f aca="false">INDEX(評価項目対応!$F$6:$F$236,$U188)</f>
        <v>3.09</v>
      </c>
      <c r="D188" s="11" t="str">
        <f aca="false">INDEX(評価項目対応!$D$6:$D$236,$U188)</f>
        <v>侵入検知</v>
      </c>
      <c r="E188" s="11" t="str">
        <f aca="false">INDEX(評価項目対応!$E$6:$E$236,$U188)</f>
        <v>ランサムウェア配置前に発生する可能性のある、コマンドアンドチェック
項目アクティビティやその他の潜在的に悪意のあるネットワークアクティ
ビティを検出するために、侵入検知システム（IDS）の実装を検討する。</v>
      </c>
      <c r="F188" s="13" t="str">
        <f aca="false">IF($D$4="","",$D$4)</f>
        <v/>
      </c>
      <c r="G188" s="13" t="str">
        <f aca="false">IFERROR(IF(INDEX(評価項目対応!$I$6:$I$236,$U188)="対象","対象",IF(INDEX(評価項目対応!$I$6:$I$236,$U188)="対象外（承認済）","対象外",IF(INDEX(評価項目対応!$I$6:$I$236,$U188)="未確定","n/a",""))),"")</f>
        <v>n/a</v>
      </c>
      <c r="H188" s="25" t="str">
        <f aca="false">IF(ISBLANK(J188),"",IF(J188=5,"Yes",IF(J188=4,"Yes","No")))</f>
        <v/>
      </c>
      <c r="I188" s="18"/>
      <c r="J188" s="26"/>
      <c r="K188" s="18"/>
      <c r="L188" s="18"/>
      <c r="M188" s="11" t="str">
        <f aca="false">IF(INDEX(評価項目対応!$J$6:$J$236,$U188)="","",INDEX(評価項目対応!$J$6:$J$236,$U188))</f>
        <v/>
      </c>
      <c r="N188" s="11" t="str">
        <f aca="false">IF(INDEX(評価項目対応!$N$6:$N$236,$U188)="","",INDEX(評価項目対応!$N$6:$N$236,$U188))</f>
        <v/>
      </c>
      <c r="O188" s="11" t="str">
        <f aca="false">IF(INDEX(評価項目対応!$O$6:$O$236,$U188)="","",INDEX(評価項目対応!$O$6:$O$236,$U188))</f>
        <v/>
      </c>
      <c r="P188" s="27" t="n">
        <f aca="false">COUNTIF(F188:G188,"")+COUNTIF(I188:O188,"")-IF(AND(G188="対象外",K188=""),1,0)</f>
        <v>8</v>
      </c>
      <c r="Q188" s="11" t="str">
        <f aca="false">IF(F188="","会社名コード未設定（D4）",IF(OR(G188="",G188="n/a"),"適用性を確定（評価項目対応I列）",IF(AND(G188="対象外",OR(I188&lt;&gt;"対象外",J188&lt;&gt;"n/a")),"対象外ならR=対象外・S=n/a",IF(AND(G188="対象",OR(I188="対象外",J188="n/a")),"対象なのにR／Sが対象外・n/a",IF(AND(G188="対象",OR(I188="",J188="")),"R・Sを入力",IF(AND(ISNUMBER(J188),ISNUMBER(V188),ABS(N(J188)-N(V188))&gt;=1),"RとSの乖離（案分ならUに明記）",IF(AND(G188="対象",L188=""),"Uに制約・代替策・未検証を記載",IF(AND(G188="対象外",L188=""),"対象外の理由・承認者をUに記載",IF(OR(M188="",N188="",O188=""),"V～Xを入力",IF(P188&gt;0,"未記入あり（P列）","OK"))))))))))</f>
        <v>会社名コード未設定（D4）</v>
      </c>
      <c r="R188" s="11" t="str">
        <f aca="false">IF(INDEX(評価項目対応!$M$6:$M$236,$U188)="","",INDEX(評価項目対応!$M$6:$M$236,$U188))</f>
        <v/>
      </c>
      <c r="S188" s="11" t="str">
        <f aca="false">INDEX(評価項目対応!$H$6:$H$236,$U188)</f>
        <v>公式アーキテクチャ・既存対策により原要求との差分を説明する。実マルウェア試験は行わず、代替策は安全評価責任者の受容判断を得る。</v>
      </c>
      <c r="T188" s="11" t="str">
        <f aca="false">TRIM(IF(INDEX(評価項目対応!$K$6:$K$236,$U188)="","","試験ID: "&amp;INDEX(評価項目対応!$K$6:$K$236,$U188)&amp;"　")&amp;IF(INDEX(評価項目対応!$L$6:$L$236,$U188)="","","判断理由: "&amp;INDEX(評価項目対応!$L$6:$L$236,$U188)))</f>
        <v/>
      </c>
      <c r="U188" s="28" t="n">
        <f aca="false">MATCH($A188,評価項目対応!$A$6:$A$236,0)</f>
        <v>182</v>
      </c>
      <c r="V188" s="28" t="str">
        <f aca="false">IFERROR(VLOOKUP(I188,$X$6:$Y$11,2,FALSE()),"")</f>
        <v/>
      </c>
    </row>
    <row r="189" customFormat="false" ht="78" hidden="false" customHeight="true" outlineLevel="0" collapsed="false">
      <c r="A189" s="13" t="n">
        <v>185</v>
      </c>
      <c r="B189" s="13" t="n">
        <f aca="false">INDEX(評価項目対応!$B$6:$B$236,$U189)</f>
        <v>109</v>
      </c>
      <c r="C189" s="13" t="str">
        <f aca="false">INDEX(評価項目対応!$F$6:$F$236,$U189)</f>
        <v>3.09</v>
      </c>
      <c r="D189" s="11" t="str">
        <f aca="false">INDEX(評価項目対応!$D$6:$D$236,$U189)</f>
        <v>侵入検知</v>
      </c>
      <c r="E189" s="11" t="str">
        <f aca="false">INDEX(評価項目対応!$E$6:$E$236,$U189)</f>
        <v>IDSが一元的に監視および管理されていることを確認する。ツールを適切
に設定し、警告と指標を適切な担当者にアクションのためにルーティング
する。</v>
      </c>
      <c r="F189" s="13" t="str">
        <f aca="false">IF($D$4="","",$D$4)</f>
        <v/>
      </c>
      <c r="G189" s="13" t="str">
        <f aca="false">IFERROR(IF(INDEX(評価項目対応!$I$6:$I$236,$U189)="対象","対象",IF(INDEX(評価項目対応!$I$6:$I$236,$U189)="対象外（承認済）","対象外",IF(INDEX(評価項目対応!$I$6:$I$236,$U189)="未確定","n/a",""))),"")</f>
        <v>n/a</v>
      </c>
      <c r="H189" s="25" t="str">
        <f aca="false">IF(ISBLANK(J189),"",IF(J189=5,"Yes",IF(J189=4,"Yes","No")))</f>
        <v/>
      </c>
      <c r="I189" s="18"/>
      <c r="J189" s="26"/>
      <c r="K189" s="18"/>
      <c r="L189" s="18"/>
      <c r="M189" s="11" t="str">
        <f aca="false">IF(INDEX(評価項目対応!$J$6:$J$236,$U189)="","",INDEX(評価項目対応!$J$6:$J$236,$U189))</f>
        <v/>
      </c>
      <c r="N189" s="11" t="str">
        <f aca="false">IF(INDEX(評価項目対応!$N$6:$N$236,$U189)="","",INDEX(評価項目対応!$N$6:$N$236,$U189))</f>
        <v/>
      </c>
      <c r="O189" s="11" t="str">
        <f aca="false">IF(INDEX(評価項目対応!$O$6:$O$236,$U189)="","",INDEX(評価項目対応!$O$6:$O$236,$U189))</f>
        <v/>
      </c>
      <c r="P189" s="27" t="n">
        <f aca="false">COUNTIF(F189:G189,"")+COUNTIF(I189:O189,"")-IF(AND(G189="対象外",K189=""),1,0)</f>
        <v>8</v>
      </c>
      <c r="Q189" s="11" t="str">
        <f aca="false">IF(F189="","会社名コード未設定（D4）",IF(OR(G189="",G189="n/a"),"適用性を確定（評価項目対応I列）",IF(AND(G189="対象外",OR(I189&lt;&gt;"対象外",J189&lt;&gt;"n/a")),"対象外ならR=対象外・S=n/a",IF(AND(G189="対象",OR(I189="対象外",J189="n/a")),"対象なのにR／Sが対象外・n/a",IF(AND(G189="対象",OR(I189="",J189="")),"R・Sを入力",IF(AND(ISNUMBER(J189),ISNUMBER(V189),ABS(N(J189)-N(V189))&gt;=1),"RとSの乖離（案分ならUに明記）",IF(AND(G189="対象",L189=""),"Uに制約・代替策・未検証を記載",IF(AND(G189="対象外",L189=""),"対象外の理由・承認者をUに記載",IF(OR(M189="",N189="",O189=""),"V～Xを入力",IF(P189&gt;0,"未記入あり（P列）","OK"))))))))))</f>
        <v>会社名コード未設定（D4）</v>
      </c>
      <c r="R189" s="11" t="str">
        <f aca="false">IF(INDEX(評価項目対応!$M$6:$M$236,$U189)="","",INDEX(評価項目対応!$M$6:$M$236,$U189))</f>
        <v/>
      </c>
      <c r="S189" s="11" t="str">
        <f aca="false">INDEX(評価項目対応!$H$6:$H$236,$U189)</f>
        <v>公式アーキテクチャ・既存対策により原要求との差分を説明する。実マルウェア試験は行わず、代替策は安全評価責任者の受容判断を得る。</v>
      </c>
      <c r="T189" s="11" t="str">
        <f aca="false">TRIM(IF(INDEX(評価項目対応!$K$6:$K$236,$U189)="","","試験ID: "&amp;INDEX(評価項目対応!$K$6:$K$236,$U189)&amp;"　")&amp;IF(INDEX(評価項目対応!$L$6:$L$236,$U189)="","","判断理由: "&amp;INDEX(評価項目対応!$L$6:$L$236,$U189)))</f>
        <v/>
      </c>
      <c r="U189" s="28" t="n">
        <f aca="false">MATCH($A189,評価項目対応!$A$6:$A$236,0)</f>
        <v>183</v>
      </c>
      <c r="V189" s="28" t="str">
        <f aca="false">IFERROR(VLOOKUP(I189,$X$6:$Y$11,2,FALSE()),"")</f>
        <v/>
      </c>
    </row>
    <row r="190" customFormat="false" ht="63.75" hidden="false" customHeight="true" outlineLevel="0" collapsed="false">
      <c r="A190" s="13" t="n">
        <v>186</v>
      </c>
      <c r="B190" s="13" t="n">
        <f aca="false">INDEX(評価項目対応!$B$6:$B$236,$U190)</f>
        <v>172</v>
      </c>
      <c r="C190" s="13" t="str">
        <f aca="false">INDEX(評価項目対応!$F$6:$F$236,$U190)</f>
        <v>3.09</v>
      </c>
      <c r="D190" s="11" t="str">
        <f aca="false">INDEX(評価項目対応!$D$6:$D$236,$U190)</f>
        <v>通常時ベースライン</v>
      </c>
      <c r="E190" s="11" t="str">
        <f aca="false">INDEX(評価項目対応!$E$6:$E$236,$U190)</f>
        <v>通常のネットワークトラフィックのセキュリティベースラインを確立し、
異常動作を検知するためにネットワークアプライアンスを調整する。</v>
      </c>
      <c r="F190" s="13" t="str">
        <f aca="false">IF($D$4="","",$D$4)</f>
        <v/>
      </c>
      <c r="G190" s="13" t="str">
        <f aca="false">IFERROR(IF(INDEX(評価項目対応!$I$6:$I$236,$U190)="対象","対象",IF(INDEX(評価項目対応!$I$6:$I$236,$U190)="対象外（承認済）","対象外",IF(INDEX(評価項目対応!$I$6:$I$236,$U190)="未確定","n/a",""))),"")</f>
        <v>n/a</v>
      </c>
      <c r="H190" s="25" t="str">
        <f aca="false">IF(ISBLANK(J190),"",IF(J190=5,"Yes",IF(J190=4,"Yes","No")))</f>
        <v/>
      </c>
      <c r="I190" s="18"/>
      <c r="J190" s="26"/>
      <c r="K190" s="18"/>
      <c r="L190" s="18"/>
      <c r="M190" s="11" t="str">
        <f aca="false">IF(INDEX(評価項目対応!$J$6:$J$236,$U190)="","",INDEX(評価項目対応!$J$6:$J$236,$U190))</f>
        <v/>
      </c>
      <c r="N190" s="11" t="str">
        <f aca="false">IF(INDEX(評価項目対応!$N$6:$N$236,$U190)="","",INDEX(評価項目対応!$N$6:$N$236,$U190))</f>
        <v/>
      </c>
      <c r="O190" s="11" t="str">
        <f aca="false">IF(INDEX(評価項目対応!$O$6:$O$236,$U190)="","",INDEX(評価項目対応!$O$6:$O$236,$U190))</f>
        <v/>
      </c>
      <c r="P190" s="27" t="n">
        <f aca="false">COUNTIF(F190:G190,"")+COUNTIF(I190:O190,"")-IF(AND(G190="対象外",K190=""),1,0)</f>
        <v>8</v>
      </c>
      <c r="Q190" s="11" t="str">
        <f aca="false">IF(F190="","会社名コード未設定（D4）",IF(OR(G190="",G190="n/a"),"適用性を確定（評価項目対応I列）",IF(AND(G190="対象外",OR(I190&lt;&gt;"対象外",J190&lt;&gt;"n/a")),"対象外ならR=対象外・S=n/a",IF(AND(G190="対象",OR(I190="対象外",J190="n/a")),"対象なのにR／Sが対象外・n/a",IF(AND(G190="対象",OR(I190="",J190="")),"R・Sを入力",IF(AND(ISNUMBER(J190),ISNUMBER(V190),ABS(N(J190)-N(V190))&gt;=1),"RとSの乖離（案分ならUに明記）",IF(AND(G190="対象",L190=""),"Uに制約・代替策・未検証を記載",IF(AND(G190="対象外",L190=""),"対象外の理由・承認者をUに記載",IF(OR(M190="",N190="",O190=""),"V～Xを入力",IF(P190&gt;0,"未記入あり（P列）","OK"))))))))))</f>
        <v>会社名コード未設定（D4）</v>
      </c>
      <c r="R190" s="11" t="str">
        <f aca="false">IF(INDEX(評価項目対応!$M$6:$M$236,$U190)="","",INDEX(評価項目対応!$M$6:$M$236,$U190))</f>
        <v/>
      </c>
      <c r="S190" s="11" t="str">
        <f aca="false">INDEX(評価項目対応!$H$6:$H$236,$U190)</f>
        <v>公式アーキテクチャ・既存対策により原要求との差分を説明する。実マルウェア試験は行わず、代替策は安全評価責任者の受容判断を得る。</v>
      </c>
      <c r="T190" s="11" t="str">
        <f aca="false">TRIM(IF(INDEX(評価項目対応!$K$6:$K$236,$U190)="","","試験ID: "&amp;INDEX(評価項目対応!$K$6:$K$236,$U190)&amp;"　")&amp;IF(INDEX(評価項目対応!$L$6:$L$236,$U190)="","","判断理由: "&amp;INDEX(評価項目対応!$L$6:$L$236,$U190)))</f>
        <v/>
      </c>
      <c r="U190" s="28" t="n">
        <f aca="false">MATCH($A190,評価項目対応!$A$6:$A$236,0)</f>
        <v>184</v>
      </c>
      <c r="V190" s="28" t="str">
        <f aca="false">IFERROR(VLOOKUP(I190,$X$6:$Y$11,2,FALSE()),"")</f>
        <v/>
      </c>
    </row>
    <row r="191" customFormat="false" ht="49.5" hidden="false" customHeight="true" outlineLevel="0" collapsed="false">
      <c r="A191" s="13" t="n">
        <v>187</v>
      </c>
      <c r="B191" s="13" t="n">
        <f aca="false">INDEX(評価項目対応!$B$6:$B$236,$U191)</f>
        <v>173</v>
      </c>
      <c r="C191" s="13" t="str">
        <f aca="false">INDEX(評価項目対応!$F$6:$F$236,$U191)</f>
        <v>3.09</v>
      </c>
      <c r="D191" s="11" t="str">
        <f aca="false">INDEX(評価項目対応!$D$6:$D$236,$U191)</f>
        <v>通常時ベースライン</v>
      </c>
      <c r="E191" s="11" t="str">
        <f aca="false">INDEX(評価項目対応!$E$6:$E$236,$U191)</f>
        <v>ホストベースの製品を調整して、異常なバイナリ、横移動、および永続化
技術を検知する。</v>
      </c>
      <c r="F191" s="13" t="str">
        <f aca="false">IF($D$4="","",$D$4)</f>
        <v/>
      </c>
      <c r="G191" s="13" t="str">
        <f aca="false">IFERROR(IF(INDEX(評価項目対応!$I$6:$I$236,$U191)="対象","対象",IF(INDEX(評価項目対応!$I$6:$I$236,$U191)="対象外（承認済）","対象外",IF(INDEX(評価項目対応!$I$6:$I$236,$U191)="未確定","n/a",""))),"")</f>
        <v>n/a</v>
      </c>
      <c r="H191" s="25" t="str">
        <f aca="false">IF(ISBLANK(J191),"",IF(J191=5,"Yes",IF(J191=4,"Yes","No")))</f>
        <v/>
      </c>
      <c r="I191" s="18"/>
      <c r="J191" s="26"/>
      <c r="K191" s="18"/>
      <c r="L191" s="18"/>
      <c r="M191" s="11" t="str">
        <f aca="false">IF(INDEX(評価項目対応!$J$6:$J$236,$U191)="","",INDEX(評価項目対応!$J$6:$J$236,$U191))</f>
        <v/>
      </c>
      <c r="N191" s="11" t="str">
        <f aca="false">IF(INDEX(評価項目対応!$N$6:$N$236,$U191)="","",INDEX(評価項目対応!$N$6:$N$236,$U191))</f>
        <v/>
      </c>
      <c r="O191" s="11" t="str">
        <f aca="false">IF(INDEX(評価項目対応!$O$6:$O$236,$U191)="","",INDEX(評価項目対応!$O$6:$O$236,$U191))</f>
        <v/>
      </c>
      <c r="P191" s="27" t="n">
        <f aca="false">COUNTIF(F191:G191,"")+COUNTIF(I191:O191,"")-IF(AND(G191="対象外",K191=""),1,0)</f>
        <v>8</v>
      </c>
      <c r="Q191" s="11" t="str">
        <f aca="false">IF(F191="","会社名コード未設定（D4）",IF(OR(G191="",G191="n/a"),"適用性を確定（評価項目対応I列）",IF(AND(G191="対象外",OR(I191&lt;&gt;"対象外",J191&lt;&gt;"n/a")),"対象外ならR=対象外・S=n/a",IF(AND(G191="対象",OR(I191="対象外",J191="n/a")),"対象なのにR／Sが対象外・n/a",IF(AND(G191="対象",OR(I191="",J191="")),"R・Sを入力",IF(AND(ISNUMBER(J191),ISNUMBER(V191),ABS(N(J191)-N(V191))&gt;=1),"RとSの乖離（案分ならUに明記）",IF(AND(G191="対象",L191=""),"Uに制約・代替策・未検証を記載",IF(AND(G191="対象外",L191=""),"対象外の理由・承認者をUに記載",IF(OR(M191="",N191="",O191=""),"V～Xを入力",IF(P191&gt;0,"未記入あり（P列）","OK"))))))))))</f>
        <v>会社名コード未設定（D4）</v>
      </c>
      <c r="R191" s="11" t="str">
        <f aca="false">IF(INDEX(評価項目対応!$M$6:$M$236,$U191)="","",INDEX(評価項目対応!$M$6:$M$236,$U191))</f>
        <v/>
      </c>
      <c r="S191" s="11" t="str">
        <f aca="false">INDEX(評価項目対応!$H$6:$H$236,$U191)</f>
        <v>公式アーキテクチャ・既存対策により原要求との差分を説明する。実マルウェア試験は行わず、代替策は安全評価責任者の受容判断を得る。</v>
      </c>
      <c r="T191" s="11" t="str">
        <f aca="false">TRIM(IF(INDEX(評価項目対応!$K$6:$K$236,$U191)="","","試験ID: "&amp;INDEX(評価項目対応!$K$6:$K$236,$U191)&amp;"　")&amp;IF(INDEX(評価項目対応!$L$6:$L$236,$U191)="","","判断理由: "&amp;INDEX(評価項目対応!$L$6:$L$236,$U191)))</f>
        <v/>
      </c>
      <c r="U191" s="28" t="n">
        <f aca="false">MATCH($A191,評価項目対応!$A$6:$A$236,0)</f>
        <v>185</v>
      </c>
      <c r="V191" s="28" t="str">
        <f aca="false">IFERROR(VLOOKUP(I191,$X$6:$Y$11,2,FALSE()),"")</f>
        <v/>
      </c>
    </row>
    <row r="192" customFormat="false" ht="36" hidden="false" customHeight="true" outlineLevel="0" collapsed="false">
      <c r="A192" s="13" t="n">
        <v>188</v>
      </c>
      <c r="B192" s="13" t="n">
        <f aca="false">INDEX(評価項目対応!$B$6:$B$236,$U192)</f>
        <v>13</v>
      </c>
      <c r="C192" s="13" t="str">
        <f aca="false">INDEX(評価項目対応!$F$6:$F$236,$U192)</f>
        <v>5.08</v>
      </c>
      <c r="D192" s="11" t="str">
        <f aca="false">INDEX(評価項目対応!$D$6:$D$236,$U192)</f>
        <v>規制対応</v>
      </c>
      <c r="E192" s="11" t="str">
        <f aca="false">INDEX(評価項目対応!$E$6:$E$236,$U192)</f>
        <v>法律に従って、サードパーティと規制当局にデータ侵害通知を提供する。</v>
      </c>
      <c r="F192" s="13" t="str">
        <f aca="false">IF($D$4="","",$D$4)</f>
        <v/>
      </c>
      <c r="G192" s="13" t="str">
        <f aca="false">IFERROR(IF(INDEX(評価項目対応!$I$6:$I$236,$U192)="対象","対象",IF(INDEX(評価項目対応!$I$6:$I$236,$U192)="対象外（承認済）","対象外",IF(INDEX(評価項目対応!$I$6:$I$236,$U192)="未確定","n/a",""))),"")</f>
        <v>n/a</v>
      </c>
      <c r="H192" s="25" t="str">
        <f aca="false">IF(ISBLANK(J192),"",IF(J192=5,"Yes",IF(J192=4,"Yes","No")))</f>
        <v/>
      </c>
      <c r="I192" s="18"/>
      <c r="J192" s="26"/>
      <c r="K192" s="18"/>
      <c r="L192" s="18"/>
      <c r="M192" s="11" t="str">
        <f aca="false">IF(INDEX(評価項目対応!$J$6:$J$236,$U192)="","",INDEX(評価項目対応!$J$6:$J$236,$U192))</f>
        <v/>
      </c>
      <c r="N192" s="11" t="str">
        <f aca="false">IF(INDEX(評価項目対応!$N$6:$N$236,$U192)="","",INDEX(評価項目対応!$N$6:$N$236,$U192))</f>
        <v/>
      </c>
      <c r="O192" s="11" t="str">
        <f aca="false">IF(INDEX(評価項目対応!$O$6:$O$236,$U192)="","",INDEX(評価項目対応!$O$6:$O$236,$U192))</f>
        <v/>
      </c>
      <c r="P192" s="27" t="n">
        <f aca="false">COUNTIF(F192:G192,"")+COUNTIF(I192:O192,"")-IF(AND(G192="対象外",K192=""),1,0)</f>
        <v>8</v>
      </c>
      <c r="Q192" s="11" t="str">
        <f aca="false">IF(F192="","会社名コード未設定（D4）",IF(OR(G192="",G192="n/a"),"適用性を確定（評価項目対応I列）",IF(AND(G192="対象外",OR(I192&lt;&gt;"対象外",J192&lt;&gt;"n/a")),"対象外ならR=対象外・S=n/a",IF(AND(G192="対象",OR(I192="対象外",J192="n/a")),"対象なのにR／Sが対象外・n/a",IF(AND(G192="対象",OR(I192="",J192="")),"R・Sを入力",IF(AND(ISNUMBER(J192),ISNUMBER(V192),ABS(N(J192)-N(V192))&gt;=1),"RとSの乖離（案分ならUに明記）",IF(AND(G192="対象",L192=""),"Uに制約・代替策・未検証を記載",IF(AND(G192="対象外",L192=""),"対象外の理由・承認者をUに記載",IF(OR(M192="",N192="",O192=""),"V～Xを入力",IF(P192&gt;0,"未記入あり（P列）","OK"))))))))))</f>
        <v>会社名コード未設定（D4）</v>
      </c>
      <c r="R192" s="11" t="str">
        <f aca="false">IF(INDEX(評価項目対応!$M$6:$M$236,$U192)="","",INDEX(評価項目対応!$M$6:$M$236,$U192))</f>
        <v/>
      </c>
      <c r="S192" s="11" t="str">
        <f aca="false">INDEX(評価項目対応!$H$6:$H$236,$U192)</f>
        <v>社内の教育・IR・報告・承認・定期改善の規程と実績を確認する。未整備は課題化し適用除外しない。</v>
      </c>
      <c r="T192" s="11" t="str">
        <f aca="false">TRIM(IF(INDEX(評価項目対応!$K$6:$K$236,$U192)="","","試験ID: "&amp;INDEX(評価項目対応!$K$6:$K$236,$U192)&amp;"　")&amp;IF(INDEX(評価項目対応!$L$6:$L$236,$U192)="","","判断理由: "&amp;INDEX(評価項目対応!$L$6:$L$236,$U192)))</f>
        <v/>
      </c>
      <c r="U192" s="28" t="n">
        <f aca="false">MATCH($A192,評価項目対応!$A$6:$A$236,0)</f>
        <v>186</v>
      </c>
      <c r="V192" s="28" t="str">
        <f aca="false">IFERROR(VLOOKUP(I192,$X$6:$Y$11,2,FALSE()),"")</f>
        <v/>
      </c>
    </row>
    <row r="193" customFormat="false" ht="49.5" hidden="false" customHeight="true" outlineLevel="0" collapsed="false">
      <c r="A193" s="13" t="n">
        <v>189</v>
      </c>
      <c r="B193" s="13" t="n">
        <f aca="false">INDEX(評価項目対応!$B$6:$B$236,$U193)</f>
        <v>230</v>
      </c>
      <c r="C193" s="13" t="str">
        <f aca="false">INDEX(評価項目対応!$F$6:$F$236,$U193)</f>
        <v>5.08</v>
      </c>
      <c r="D193" s="11" t="str">
        <f aca="false">INDEX(評価項目対応!$D$6:$D$236,$U193)</f>
        <v>教訓の反映</v>
      </c>
      <c r="E193" s="11" t="str">
        <f aca="false">INDEX(評価項目対応!$E$6:$E$236,$U193)</f>
        <v>インシデントと関連する対応活動から得られた教訓を文書化し、組織の方
針、計画、手順の更新と改善に反映させる。</v>
      </c>
      <c r="F193" s="13" t="str">
        <f aca="false">IF($D$4="","",$D$4)</f>
        <v/>
      </c>
      <c r="G193" s="13" t="str">
        <f aca="false">IFERROR(IF(INDEX(評価項目対応!$I$6:$I$236,$U193)="対象","対象",IF(INDEX(評価項目対応!$I$6:$I$236,$U193)="対象外（承認済）","対象外",IF(INDEX(評価項目対応!$I$6:$I$236,$U193)="未確定","n/a",""))),"")</f>
        <v>n/a</v>
      </c>
      <c r="H193" s="25" t="str">
        <f aca="false">IF(ISBLANK(J193),"",IF(J193=5,"Yes",IF(J193=4,"Yes","No")))</f>
        <v/>
      </c>
      <c r="I193" s="18"/>
      <c r="J193" s="26"/>
      <c r="K193" s="18"/>
      <c r="L193" s="18"/>
      <c r="M193" s="11" t="str">
        <f aca="false">IF(INDEX(評価項目対応!$J$6:$J$236,$U193)="","",INDEX(評価項目対応!$J$6:$J$236,$U193))</f>
        <v/>
      </c>
      <c r="N193" s="11" t="str">
        <f aca="false">IF(INDEX(評価項目対応!$N$6:$N$236,$U193)="","",INDEX(評価項目対応!$N$6:$N$236,$U193))</f>
        <v/>
      </c>
      <c r="O193" s="11" t="str">
        <f aca="false">IF(INDEX(評価項目対応!$O$6:$O$236,$U193)="","",INDEX(評価項目対応!$O$6:$O$236,$U193))</f>
        <v/>
      </c>
      <c r="P193" s="27" t="n">
        <f aca="false">COUNTIF(F193:G193,"")+COUNTIF(I193:O193,"")-IF(AND(G193="対象外",K193=""),1,0)</f>
        <v>8</v>
      </c>
      <c r="Q193" s="11" t="str">
        <f aca="false">IF(F193="","会社名コード未設定（D4）",IF(OR(G193="",G193="n/a"),"適用性を確定（評価項目対応I列）",IF(AND(G193="対象外",OR(I193&lt;&gt;"対象外",J193&lt;&gt;"n/a")),"対象外ならR=対象外・S=n/a",IF(AND(G193="対象",OR(I193="対象外",J193="n/a")),"対象なのにR／Sが対象外・n/a",IF(AND(G193="対象",OR(I193="",J193="")),"R・Sを入力",IF(AND(ISNUMBER(J193),ISNUMBER(V193),ABS(N(J193)-N(V193))&gt;=1),"RとSの乖離（案分ならUに明記）",IF(AND(G193="対象",L193=""),"Uに制約・代替策・未検証を記載",IF(AND(G193="対象外",L193=""),"対象外の理由・承認者をUに記載",IF(OR(M193="",N193="",O193=""),"V～Xを入力",IF(P193&gt;0,"未記入あり（P列）","OK"))))))))))</f>
        <v>会社名コード未設定（D4）</v>
      </c>
      <c r="R193" s="11" t="str">
        <f aca="false">IF(INDEX(評価項目対応!$M$6:$M$236,$U193)="","",INDEX(評価項目対応!$M$6:$M$236,$U193))</f>
        <v/>
      </c>
      <c r="S193" s="11" t="str">
        <f aca="false">INDEX(評価項目対応!$H$6:$H$236,$U193)</f>
        <v>社内の教育・IR・報告・承認・定期改善の規程と実績を確認する。未整備は課題化し適用除外しない。</v>
      </c>
      <c r="T193" s="11" t="str">
        <f aca="false">TRIM(IF(INDEX(評価項目対応!$K$6:$K$236,$U193)="","","試験ID: "&amp;INDEX(評価項目対応!$K$6:$K$236,$U193)&amp;"　")&amp;IF(INDEX(評価項目対応!$L$6:$L$236,$U193)="","","判断理由: "&amp;INDEX(評価項目対応!$L$6:$L$236,$U193)))</f>
        <v/>
      </c>
      <c r="U193" s="28" t="n">
        <f aca="false">MATCH($A193,評価項目対応!$A$6:$A$236,0)</f>
        <v>187</v>
      </c>
      <c r="V193" s="28" t="str">
        <f aca="false">IFERROR(VLOOKUP(I193,$X$6:$Y$11,2,FALSE()),"")</f>
        <v/>
      </c>
    </row>
    <row r="194" customFormat="false" ht="49.5" hidden="false" customHeight="true" outlineLevel="0" collapsed="false">
      <c r="A194" s="13" t="n">
        <v>190</v>
      </c>
      <c r="B194" s="13" t="n">
        <f aca="false">INDEX(評価項目対応!$B$6:$B$236,$U194)</f>
        <v>231</v>
      </c>
      <c r="C194" s="13" t="str">
        <f aca="false">INDEX(評価項目対応!$F$6:$F$236,$U194)</f>
        <v>5.08</v>
      </c>
      <c r="D194" s="11" t="str">
        <f aca="false">INDEX(評価項目対応!$D$6:$D$236,$U194)</f>
        <v>知見の共有</v>
      </c>
      <c r="E194" s="11" t="str">
        <f aca="false">INDEX(評価項目対応!$E$6:$E$236,$U194)</f>
        <v>学んだ教訓や関連する侵害指標をCISAやセクターISACと共有することを検
討する。（2020年版のSeq.０、Seq.１に相当する）</v>
      </c>
      <c r="F194" s="13" t="str">
        <f aca="false">IF($D$4="","",$D$4)</f>
        <v/>
      </c>
      <c r="G194" s="13" t="str">
        <f aca="false">IFERROR(IF(INDEX(評価項目対応!$I$6:$I$236,$U194)="対象","対象",IF(INDEX(評価項目対応!$I$6:$I$236,$U194)="対象外（承認済）","対象外",IF(INDEX(評価項目対応!$I$6:$I$236,$U194)="未確定","n/a",""))),"")</f>
        <v>n/a</v>
      </c>
      <c r="H194" s="25" t="str">
        <f aca="false">IF(ISBLANK(J194),"",IF(J194=5,"Yes",IF(J194=4,"Yes","No")))</f>
        <v/>
      </c>
      <c r="I194" s="18"/>
      <c r="J194" s="26"/>
      <c r="K194" s="18"/>
      <c r="L194" s="18"/>
      <c r="M194" s="11" t="str">
        <f aca="false">IF(INDEX(評価項目対応!$J$6:$J$236,$U194)="","",INDEX(評価項目対応!$J$6:$J$236,$U194))</f>
        <v/>
      </c>
      <c r="N194" s="11" t="str">
        <f aca="false">IF(INDEX(評価項目対応!$N$6:$N$236,$U194)="","",INDEX(評価項目対応!$N$6:$N$236,$U194))</f>
        <v/>
      </c>
      <c r="O194" s="11" t="str">
        <f aca="false">IF(INDEX(評価項目対応!$O$6:$O$236,$U194)="","",INDEX(評価項目対応!$O$6:$O$236,$U194))</f>
        <v/>
      </c>
      <c r="P194" s="27" t="n">
        <f aca="false">COUNTIF(F194:G194,"")+COUNTIF(I194:O194,"")-IF(AND(G194="対象外",K194=""),1,0)</f>
        <v>8</v>
      </c>
      <c r="Q194" s="11" t="str">
        <f aca="false">IF(F194="","会社名コード未設定（D4）",IF(OR(G194="",G194="n/a"),"適用性を確定（評価項目対応I列）",IF(AND(G194="対象外",OR(I194&lt;&gt;"対象外",J194&lt;&gt;"n/a")),"対象外ならR=対象外・S=n/a",IF(AND(G194="対象",OR(I194="対象外",J194="n/a")),"対象なのにR／Sが対象外・n/a",IF(AND(G194="対象",OR(I194="",J194="")),"R・Sを入力",IF(AND(ISNUMBER(J194),ISNUMBER(V194),ABS(N(J194)-N(V194))&gt;=1),"RとSの乖離（案分ならUに明記）",IF(AND(G194="対象",L194=""),"Uに制約・代替策・未検証を記載",IF(AND(G194="対象外",L194=""),"対象外の理由・承認者をUに記載",IF(OR(M194="",N194="",O194=""),"V～Xを入力",IF(P194&gt;0,"未記入あり（P列）","OK"))))))))))</f>
        <v>会社名コード未設定（D4）</v>
      </c>
      <c r="R194" s="11" t="str">
        <f aca="false">IF(INDEX(評価項目対応!$M$6:$M$236,$U194)="","",INDEX(評価項目対応!$M$6:$M$236,$U194))</f>
        <v/>
      </c>
      <c r="S194" s="11" t="str">
        <f aca="false">INDEX(評価項目対応!$H$6:$H$236,$U194)</f>
        <v>社内の教育・IR・報告・承認・定期改善の規程と実績を確認する。未整備は課題化し適用除外しない。</v>
      </c>
      <c r="T194" s="11" t="str">
        <f aca="false">TRIM(IF(INDEX(評価項目対応!$K$6:$K$236,$U194)="","","試験ID: "&amp;INDEX(評価項目対応!$K$6:$K$236,$U194)&amp;"　")&amp;IF(INDEX(評価項目対応!$L$6:$L$236,$U194)="","","判断理由: "&amp;INDEX(評価項目対応!$L$6:$L$236,$U194)))</f>
        <v/>
      </c>
      <c r="U194" s="28" t="n">
        <f aca="false">MATCH($A194,評価項目対応!$A$6:$A$236,0)</f>
        <v>188</v>
      </c>
      <c r="V194" s="28" t="str">
        <f aca="false">IFERROR(VLOOKUP(I194,$X$6:$Y$11,2,FALSE()),"")</f>
        <v/>
      </c>
    </row>
    <row r="195" customFormat="false" ht="78" hidden="false" customHeight="true" outlineLevel="0" collapsed="false">
      <c r="A195" s="13" t="n">
        <v>191</v>
      </c>
      <c r="B195" s="13" t="n">
        <f aca="false">INDEX(評価項目対応!$B$6:$B$236,$U195)</f>
        <v>196</v>
      </c>
      <c r="C195" s="13" t="str">
        <f aca="false">INDEX(評価項目対応!$F$6:$F$236,$U195)</f>
        <v>4.04a</v>
      </c>
      <c r="D195" s="11" t="str">
        <f aca="false">INDEX(評価項目対応!$D$6:$D$236,$U195)</f>
        <v>AD管理</v>
      </c>
      <c r="E195" s="11" t="str">
        <f aca="false">INDEX(評価項目対応!$E$6:$E$236,$U195)</f>
        <v>ドメイン管理者のような特権アカウントに関連する、新規作成されたADア
カウントや特権が昇格されたアカウントと最近のアクティビティをチェッ
クする。</v>
      </c>
      <c r="F195" s="13" t="str">
        <f aca="false">IF($D$4="","",$D$4)</f>
        <v/>
      </c>
      <c r="G195" s="13" t="str">
        <f aca="false">IFERROR(IF(INDEX(評価項目対応!$I$6:$I$236,$U195)="対象","対象",IF(INDEX(評価項目対応!$I$6:$I$236,$U195)="対象外（承認済）","対象外",IF(INDEX(評価項目対応!$I$6:$I$236,$U195)="未確定","n/a",""))),"")</f>
        <v>n/a</v>
      </c>
      <c r="H195" s="25" t="str">
        <f aca="false">IF(ISBLANK(J195),"",IF(J195=5,"Yes",IF(J195=4,"Yes","No")))</f>
        <v/>
      </c>
      <c r="I195" s="18"/>
      <c r="J195" s="26"/>
      <c r="K195" s="18"/>
      <c r="L195" s="18"/>
      <c r="M195" s="11" t="str">
        <f aca="false">IF(INDEX(評価項目対応!$J$6:$J$236,$U195)="","",INDEX(評価項目対応!$J$6:$J$236,$U195))</f>
        <v/>
      </c>
      <c r="N195" s="11" t="str">
        <f aca="false">IF(INDEX(評価項目対応!$N$6:$N$236,$U195)="","",INDEX(評価項目対応!$N$6:$N$236,$U195))</f>
        <v/>
      </c>
      <c r="O195" s="11" t="str">
        <f aca="false">IF(INDEX(評価項目対応!$O$6:$O$236,$U195)="","",INDEX(評価項目対応!$O$6:$O$236,$U195))</f>
        <v/>
      </c>
      <c r="P195" s="27" t="n">
        <f aca="false">COUNTIF(F195:G195,"")+COUNTIF(I195:O195,"")-IF(AND(G195="対象外",K195=""),1,0)</f>
        <v>8</v>
      </c>
      <c r="Q195" s="11" t="str">
        <f aca="false">IF(F195="","会社名コード未設定（D4）",IF(OR(G195="",G195="n/a"),"適用性を確定（評価項目対応I列）",IF(AND(G195="対象外",OR(I195&lt;&gt;"対象外",J195&lt;&gt;"n/a")),"対象外ならR=対象外・S=n/a",IF(AND(G195="対象",OR(I195="対象外",J195="n/a")),"対象なのにR／Sが対象外・n/a",IF(AND(G195="対象",OR(I195="",J195="")),"R・Sを入力",IF(AND(ISNUMBER(J195),ISNUMBER(V195),ABS(N(J195)-N(V195))&gt;=1),"RとSの乖離（案分ならUに明記）",IF(AND(G195="対象",L195=""),"Uに制約・代替策・未検証を記載",IF(AND(G195="対象外",L195=""),"対象外の理由・承認者をUに記載",IF(OR(M195="",N195="",O195=""),"V～Xを入力",IF(P195&gt;0,"未記入あり（P列）","OK"))))))))))</f>
        <v>会社名コード未設定（D4）</v>
      </c>
      <c r="R195" s="11" t="str">
        <f aca="false">IF(INDEX(評価項目対応!$M$6:$M$236,$U195)="","",INDEX(評価項目対応!$M$6:$M$236,$U195))</f>
        <v/>
      </c>
      <c r="S195" s="11" t="str">
        <f aca="false">INDEX(評価項目対応!$H$6:$H$236,$U195)</f>
        <v>Windows固有の要件（PowerShell、LSASS、資格情報保護等）。ChromeOS端末は非該当だが、接続先のAD／Windows環境に適用し得るため既存証跡を確認する。対象外にする場合は理由と承認者を記録する。</v>
      </c>
      <c r="T195" s="11" t="str">
        <f aca="false">TRIM(IF(INDEX(評価項目対応!$K$6:$K$236,$U195)="","","試験ID: "&amp;INDEX(評価項目対応!$K$6:$K$236,$U195)&amp;"　")&amp;IF(INDEX(評価項目対応!$L$6:$L$236,$U195)="","","判断理由: "&amp;INDEX(評価項目対応!$L$6:$L$236,$U195)))</f>
        <v/>
      </c>
      <c r="U195" s="28" t="n">
        <f aca="false">MATCH($A195,評価項目対応!$A$6:$A$236,0)</f>
        <v>189</v>
      </c>
      <c r="V195" s="28" t="str">
        <f aca="false">IFERROR(VLOOKUP(I195,$X$6:$Y$11,2,FALSE()),"")</f>
        <v/>
      </c>
    </row>
    <row r="196" customFormat="false" ht="63.75" hidden="false" customHeight="true" outlineLevel="0" collapsed="false">
      <c r="A196" s="13" t="n">
        <v>192</v>
      </c>
      <c r="B196" s="13" t="n">
        <f aca="false">INDEX(評価項目対応!$B$6:$B$236,$U196)</f>
        <v>202</v>
      </c>
      <c r="C196" s="13" t="str">
        <f aca="false">INDEX(評価項目対応!$F$6:$F$236,$U196)</f>
        <v>4.04a</v>
      </c>
      <c r="D196" s="11" t="str">
        <f aca="false">INDEX(評価項目対応!$D$6:$D$236,$U196)</f>
        <v>PowerShellの管理</v>
      </c>
      <c r="E196" s="11" t="str">
        <f aca="false">INDEX(評価項目対応!$E$6:$E$236,$U196)</f>
        <v>予期しないPowerShellの実行やPsToolsスイートの使用がないか確認する
。</v>
      </c>
      <c r="F196" s="13" t="str">
        <f aca="false">IF($D$4="","",$D$4)</f>
        <v/>
      </c>
      <c r="G196" s="13" t="str">
        <f aca="false">IFERROR(IF(INDEX(評価項目対応!$I$6:$I$236,$U196)="対象","対象",IF(INDEX(評価項目対応!$I$6:$I$236,$U196)="対象外（承認済）","対象外",IF(INDEX(評価項目対応!$I$6:$I$236,$U196)="未確定","n/a",""))),"")</f>
        <v>n/a</v>
      </c>
      <c r="H196" s="25" t="str">
        <f aca="false">IF(ISBLANK(J196),"",IF(J196=5,"Yes",IF(J196=4,"Yes","No")))</f>
        <v/>
      </c>
      <c r="I196" s="18"/>
      <c r="J196" s="26"/>
      <c r="K196" s="18"/>
      <c r="L196" s="18"/>
      <c r="M196" s="11" t="str">
        <f aca="false">IF(INDEX(評価項目対応!$J$6:$J$236,$U196)="","",INDEX(評価項目対応!$J$6:$J$236,$U196))</f>
        <v/>
      </c>
      <c r="N196" s="11" t="str">
        <f aca="false">IF(INDEX(評価項目対応!$N$6:$N$236,$U196)="","",INDEX(評価項目対応!$N$6:$N$236,$U196))</f>
        <v/>
      </c>
      <c r="O196" s="11" t="str">
        <f aca="false">IF(INDEX(評価項目対応!$O$6:$O$236,$U196)="","",INDEX(評価項目対応!$O$6:$O$236,$U196))</f>
        <v/>
      </c>
      <c r="P196" s="27" t="n">
        <f aca="false">COUNTIF(F196:G196,"")+COUNTIF(I196:O196,"")-IF(AND(G196="対象外",K196=""),1,0)</f>
        <v>8</v>
      </c>
      <c r="Q196" s="11" t="str">
        <f aca="false">IF(F196="","会社名コード未設定（D4）",IF(OR(G196="",G196="n/a"),"適用性を確定（評価項目対応I列）",IF(AND(G196="対象外",OR(I196&lt;&gt;"対象外",J196&lt;&gt;"n/a")),"対象外ならR=対象外・S=n/a",IF(AND(G196="対象",OR(I196="対象外",J196="n/a")),"対象なのにR／Sが対象外・n/a",IF(AND(G196="対象",OR(I196="",J196="")),"R・Sを入力",IF(AND(ISNUMBER(J196),ISNUMBER(V196),ABS(N(J196)-N(V196))&gt;=1),"RとSの乖離（案分ならUに明記）",IF(AND(G196="対象",L196=""),"Uに制約・代替策・未検証を記載",IF(AND(G196="対象外",L196=""),"対象外の理由・承認者をUに記載",IF(OR(M196="",N196="",O196=""),"V～Xを入力",IF(P196&gt;0,"未記入あり（P列）","OK"))))))))))</f>
        <v>会社名コード未設定（D4）</v>
      </c>
      <c r="R196" s="11" t="str">
        <f aca="false">IF(INDEX(評価項目対応!$M$6:$M$236,$U196)="","",INDEX(評価項目対応!$M$6:$M$236,$U196))</f>
        <v/>
      </c>
      <c r="S196" s="11" t="str">
        <f aca="false">INDEX(評価項目対応!$H$6:$H$236,$U196)</f>
        <v>Windows固有の要件（PowerShell、LSASS、資格情報保護等）。ChromeOS端末は非該当だが、接続先のAD／Windows環境に適用し得るため既存証跡を確認する。対象外にする場合は理由と承認者を記録する。</v>
      </c>
      <c r="T196" s="11" t="str">
        <f aca="false">TRIM(IF(INDEX(評価項目対応!$K$6:$K$236,$U196)="","","試験ID: "&amp;INDEX(評価項目対応!$K$6:$K$236,$U196)&amp;"　")&amp;IF(INDEX(評価項目対応!$L$6:$L$236,$U196)="","","判断理由: "&amp;INDEX(評価項目対応!$L$6:$L$236,$U196)))</f>
        <v/>
      </c>
      <c r="U196" s="28" t="n">
        <f aca="false">MATCH($A196,評価項目対応!$A$6:$A$236,0)</f>
        <v>190</v>
      </c>
      <c r="V196" s="28" t="str">
        <f aca="false">IFERROR(VLOOKUP(I196,$X$6:$Y$11,2,FALSE()),"")</f>
        <v/>
      </c>
    </row>
    <row r="197" customFormat="false" ht="63.75" hidden="false" customHeight="true" outlineLevel="0" collapsed="false">
      <c r="A197" s="13" t="n">
        <v>193</v>
      </c>
      <c r="B197" s="13" t="n">
        <f aca="false">INDEX(評価項目対応!$B$6:$B$236,$U197)</f>
        <v>223</v>
      </c>
      <c r="C197" s="13" t="str">
        <f aca="false">INDEX(評価項目対応!$F$6:$F$236,$U197)</f>
        <v>4.04c</v>
      </c>
      <c r="D197" s="11" t="str">
        <f aca="false">INDEX(評価項目対応!$D$6:$D$236,$U197)</f>
        <v>RDPの管理</v>
      </c>
      <c r="E197" s="11" t="str">
        <f aca="false">INDEX(評価項目対応!$E$6:$E$236,$U197)</f>
        <v>TerminalServices-RemoteConnectionManagerイベントログを確認し、RDP
ネットワーク接続の成功をチェックする。</v>
      </c>
      <c r="F197" s="13" t="str">
        <f aca="false">IF($D$4="","",$D$4)</f>
        <v/>
      </c>
      <c r="G197" s="13" t="str">
        <f aca="false">IFERROR(IF(INDEX(評価項目対応!$I$6:$I$236,$U197)="対象","対象",IF(INDEX(評価項目対応!$I$6:$I$236,$U197)="対象外（承認済）","対象外",IF(INDEX(評価項目対応!$I$6:$I$236,$U197)="未確定","n/a",""))),"")</f>
        <v>n/a</v>
      </c>
      <c r="H197" s="25" t="str">
        <f aca="false">IF(ISBLANK(J197),"",IF(J197=5,"Yes",IF(J197=4,"Yes","No")))</f>
        <v/>
      </c>
      <c r="I197" s="18"/>
      <c r="J197" s="26"/>
      <c r="K197" s="18"/>
      <c r="L197" s="18"/>
      <c r="M197" s="11" t="str">
        <f aca="false">IF(INDEX(評価項目対応!$J$6:$J$236,$U197)="","",INDEX(評価項目対応!$J$6:$J$236,$U197))</f>
        <v/>
      </c>
      <c r="N197" s="11" t="str">
        <f aca="false">IF(INDEX(評価項目対応!$N$6:$N$236,$U197)="","",INDEX(評価項目対応!$N$6:$N$236,$U197))</f>
        <v/>
      </c>
      <c r="O197" s="11" t="str">
        <f aca="false">IF(INDEX(評価項目対応!$O$6:$O$236,$U197)="","",INDEX(評価項目対応!$O$6:$O$236,$U197))</f>
        <v/>
      </c>
      <c r="P197" s="27" t="n">
        <f aca="false">COUNTIF(F197:G197,"")+COUNTIF(I197:O197,"")-IF(AND(G197="対象外",K197=""),1,0)</f>
        <v>8</v>
      </c>
      <c r="Q197" s="11" t="str">
        <f aca="false">IF(F197="","会社名コード未設定（D4）",IF(OR(G197="",G197="n/a"),"適用性を確定（評価項目対応I列）",IF(AND(G197="対象外",OR(I197&lt;&gt;"対象外",J197&lt;&gt;"n/a")),"対象外ならR=対象外・S=n/a",IF(AND(G197="対象",OR(I197="対象外",J197="n/a")),"対象なのにR／Sが対象外・n/a",IF(AND(G197="対象",OR(I197="",J197="")),"R・Sを入力",IF(AND(ISNUMBER(J197),ISNUMBER(V197),ABS(N(J197)-N(V197))&gt;=1),"RとSの乖離（案分ならUに明記）",IF(AND(G197="対象",L197=""),"Uに制約・代替策・未検証を記載",IF(AND(G197="対象外",L197=""),"対象外の理由・承認者をUに記載",IF(OR(M197="",N197="",O197=""),"V～Xを入力",IF(P197&gt;0,"未記入あり（P列）","OK"))))))))))</f>
        <v>会社名コード未設定（D4）</v>
      </c>
      <c r="R197" s="11" t="str">
        <f aca="false">IF(INDEX(評価項目対応!$M$6:$M$236,$U197)="","",INDEX(評価項目対応!$M$6:$M$236,$U197))</f>
        <v/>
      </c>
      <c r="S197" s="11" t="str">
        <f aca="false">INDEX(評価項目対応!$H$6:$H$236,$U197)</f>
        <v>VDI・RDP・リモート環境・RMM・公開サービスの既存証跡を受領する。端末側のリモートアクセス系ツール（拡張・Android・Chrome Remote Desktop）の制御は3.03／3.04で確認する。</v>
      </c>
      <c r="T197" s="11" t="str">
        <f aca="false">TRIM(IF(INDEX(評価項目対応!$K$6:$K$236,$U197)="","","試験ID: "&amp;INDEX(評価項目対応!$K$6:$K$236,$U197)&amp;"　")&amp;IF(INDEX(評価項目対応!$L$6:$L$236,$U197)="","","判断理由: "&amp;INDEX(評価項目対応!$L$6:$L$236,$U197)))</f>
        <v/>
      </c>
      <c r="U197" s="28" t="n">
        <f aca="false">MATCH($A197,評価項目対応!$A$6:$A$236,0)</f>
        <v>191</v>
      </c>
      <c r="V197" s="28" t="str">
        <f aca="false">IFERROR(VLOOKUP(I197,$X$6:$Y$11,2,FALSE()),"")</f>
        <v/>
      </c>
    </row>
    <row r="198" customFormat="false" ht="78" hidden="false" customHeight="true" outlineLevel="0" collapsed="false">
      <c r="A198" s="13" t="n">
        <v>194</v>
      </c>
      <c r="B198" s="13" t="n">
        <f aca="false">INDEX(評価項目対応!$B$6:$B$236,$U198)</f>
        <v>201</v>
      </c>
      <c r="C198" s="13" t="str">
        <f aca="false">INDEX(評価項目対応!$F$6:$F$236,$U198)</f>
        <v>5.07a</v>
      </c>
      <c r="D198" s="11" t="str">
        <f aca="false">INDEX(評価項目対応!$D$6:$D$236,$U198)</f>
        <v>RMM管理</v>
      </c>
      <c r="E198" s="11" t="str">
        <f aca="false">INDEX(評価項目対応!$E$6:$E$236,$U198)</f>
        <v>リモートモニタリングと管理(RMM)ソフトウェアの予期しない使用の兆候
を確認する。</v>
      </c>
      <c r="F198" s="13" t="str">
        <f aca="false">IF($D$4="","",$D$4)</f>
        <v/>
      </c>
      <c r="G198" s="13" t="str">
        <f aca="false">IFERROR(IF(INDEX(評価項目対応!$I$6:$I$236,$U198)="対象","対象",IF(INDEX(評価項目対応!$I$6:$I$236,$U198)="対象外（承認済）","対象外",IF(INDEX(評価項目対応!$I$6:$I$236,$U198)="未確定","n/a",""))),"")</f>
        <v>n/a</v>
      </c>
      <c r="H198" s="25" t="str">
        <f aca="false">IF(ISBLANK(J198),"",IF(J198=5,"Yes",IF(J198=4,"Yes","No")))</f>
        <v/>
      </c>
      <c r="I198" s="18"/>
      <c r="J198" s="26"/>
      <c r="K198" s="18"/>
      <c r="L198" s="18"/>
      <c r="M198" s="11" t="str">
        <f aca="false">IF(INDEX(評価項目対応!$J$6:$J$236,$U198)="","",INDEX(評価項目対応!$J$6:$J$236,$U198))</f>
        <v/>
      </c>
      <c r="N198" s="11" t="str">
        <f aca="false">IF(INDEX(評価項目対応!$N$6:$N$236,$U198)="","",INDEX(評価項目対応!$N$6:$N$236,$U198))</f>
        <v/>
      </c>
      <c r="O198" s="11" t="str">
        <f aca="false">IF(INDEX(評価項目対応!$O$6:$O$236,$U198)="","",INDEX(評価項目対応!$O$6:$O$236,$U198))</f>
        <v/>
      </c>
      <c r="P198" s="27" t="n">
        <f aca="false">COUNTIF(F198:G198,"")+COUNTIF(I198:O198,"")-IF(AND(G198="対象外",K198=""),1,0)</f>
        <v>8</v>
      </c>
      <c r="Q198" s="11" t="str">
        <f aca="false">IF(F198="","会社名コード未設定（D4）",IF(OR(G198="",G198="n/a"),"適用性を確定（評価項目対応I列）",IF(AND(G198="対象外",OR(I198&lt;&gt;"対象外",J198&lt;&gt;"n/a")),"対象外ならR=対象外・S=n/a",IF(AND(G198="対象",OR(I198="対象外",J198="n/a")),"対象なのにR／Sが対象外・n/a",IF(AND(G198="対象",OR(I198="",J198="")),"R・Sを入力",IF(AND(ISNUMBER(J198),ISNUMBER(V198),ABS(N(J198)-N(V198))&gt;=1),"RとSの乖離（案分ならUに明記）",IF(AND(G198="対象",L198=""),"Uに制約・代替策・未検証を記載",IF(AND(G198="対象外",L198=""),"対象外の理由・承認者をUに記載",IF(OR(M198="",N198="",O198=""),"V～Xを入力",IF(P198&gt;0,"未記入あり（P列）","OK"))))))))))</f>
        <v>会社名コード未設定（D4）</v>
      </c>
      <c r="R198" s="11" t="str">
        <f aca="false">IF(INDEX(評価項目対応!$M$6:$M$236,$U198)="","",INDEX(評価項目対応!$M$6:$M$236,$U198))</f>
        <v>3.03, 3.04</v>
      </c>
      <c r="S198" s="11" t="str">
        <f aca="false">INDEX(評価項目対応!$H$6:$H$236,$U198)</f>
        <v>既存IR手順・演習記録の該当箇所とChromeOS／クラウドの役割を確認する。新規の全社演習は設けず、不足は責任者へ課題化する。 端末側のリモートアクセス系ツール（拡張・PWA・Androidアプリ・Chrome Remote Desktop）の制御（3.03／3.04）も根拠にする。</v>
      </c>
      <c r="T198" s="11" t="str">
        <f aca="false">TRIM(IF(INDEX(評価項目対応!$K$6:$K$236,$U198)="","","試験ID: "&amp;INDEX(評価項目対応!$K$6:$K$236,$U198)&amp;"　")&amp;IF(INDEX(評価項目対応!$L$6:$L$236,$U198)="","","判断理由: "&amp;INDEX(評価項目対応!$L$6:$L$236,$U198)))</f>
        <v/>
      </c>
      <c r="U198" s="28" t="n">
        <f aca="false">MATCH($A198,評価項目対応!$A$6:$A$236,0)</f>
        <v>192</v>
      </c>
      <c r="V198" s="28" t="str">
        <f aca="false">IFERROR(VLOOKUP(I198,$X$6:$Y$11,2,FALSE()),"")</f>
        <v/>
      </c>
    </row>
    <row r="199" customFormat="false" ht="78" hidden="false" customHeight="true" outlineLevel="0" collapsed="false">
      <c r="A199" s="13" t="n">
        <v>195</v>
      </c>
      <c r="B199" s="13" t="n">
        <f aca="false">INDEX(評価項目対応!$B$6:$B$236,$U199)</f>
        <v>180</v>
      </c>
      <c r="C199" s="13" t="str">
        <f aca="false">INDEX(評価項目対応!$F$6:$F$236,$U199)</f>
        <v>5.07a</v>
      </c>
      <c r="D199" s="11" t="str">
        <f aca="false">INDEX(評価項目対応!$D$6:$D$236,$U199)</f>
        <v>インシデント対応</v>
      </c>
      <c r="E199" s="11" t="str">
        <f aca="false">INDEX(評価項目対応!$E$6:$E$236,$U199)</f>
        <v>影響を受けたシステムを特定し、即座に分離する。</v>
      </c>
      <c r="F199" s="13" t="str">
        <f aca="false">IF($D$4="","",$D$4)</f>
        <v/>
      </c>
      <c r="G199" s="13" t="str">
        <f aca="false">IFERROR(IF(INDEX(評価項目対応!$I$6:$I$236,$U199)="対象","対象",IF(INDEX(評価項目対応!$I$6:$I$236,$U199)="対象外（承認済）","対象外",IF(INDEX(評価項目対応!$I$6:$I$236,$U199)="未確定","n/a",""))),"")</f>
        <v>n/a</v>
      </c>
      <c r="H199" s="25" t="str">
        <f aca="false">IF(ISBLANK(J199),"",IF(J199=5,"Yes",IF(J199=4,"Yes","No")))</f>
        <v/>
      </c>
      <c r="I199" s="18"/>
      <c r="J199" s="26"/>
      <c r="K199" s="18"/>
      <c r="L199" s="18"/>
      <c r="M199" s="11" t="str">
        <f aca="false">IF(INDEX(評価項目対応!$J$6:$J$236,$U199)="","",INDEX(評価項目対応!$J$6:$J$236,$U199))</f>
        <v/>
      </c>
      <c r="N199" s="11" t="str">
        <f aca="false">IF(INDEX(評価項目対応!$N$6:$N$236,$U199)="","",INDEX(評価項目対応!$N$6:$N$236,$U199))</f>
        <v/>
      </c>
      <c r="O199" s="11" t="str">
        <f aca="false">IF(INDEX(評価項目対応!$O$6:$O$236,$U199)="","",INDEX(評価項目対応!$O$6:$O$236,$U199))</f>
        <v/>
      </c>
      <c r="P199" s="27" t="n">
        <f aca="false">COUNTIF(F199:G199,"")+COUNTIF(I199:O199,"")-IF(AND(G199="対象外",K199=""),1,0)</f>
        <v>8</v>
      </c>
      <c r="Q199" s="11" t="str">
        <f aca="false">IF(F199="","会社名コード未設定（D4）",IF(OR(G199="",G199="n/a"),"適用性を確定（評価項目対応I列）",IF(AND(G199="対象外",OR(I199&lt;&gt;"対象外",J199&lt;&gt;"n/a")),"対象外ならR=対象外・S=n/a",IF(AND(G199="対象",OR(I199="対象外",J199="n/a")),"対象なのにR／Sが対象外・n/a",IF(AND(G199="対象",OR(I199="",J199="")),"R・Sを入力",IF(AND(ISNUMBER(J199),ISNUMBER(V199),ABS(N(J199)-N(V199))&gt;=1),"RとSの乖離（案分ならUに明記）",IF(AND(G199="対象",L199=""),"Uに制約・代替策・未検証を記載",IF(AND(G199="対象外",L199=""),"対象外の理由・承認者をUに記載",IF(OR(M199="",N199="",O199=""),"V～Xを入力",IF(P199&gt;0,"未記入あり（P列）","OK"))))))))))</f>
        <v>会社名コード未設定（D4）</v>
      </c>
      <c r="R199" s="11" t="str">
        <f aca="false">IF(INDEX(評価項目対応!$M$6:$M$236,$U199)="","",INDEX(評価項目対応!$M$6:$M$236,$U199))</f>
        <v>5.07b</v>
      </c>
      <c r="S199" s="11" t="str">
        <f aca="false">INDEX(評価項目対応!$H$6:$H$236,$U199)</f>
        <v>既存IR手順・演習記録の該当箇所とChromeOS／クラウドの役割を確認する。新規の全社演習は設けず、不足は責任者へ課題化する。 Chromebook固有の手順（端末無効化・アカウント停止・証跡保全）は5.07b（11/4）で確認する。</v>
      </c>
      <c r="T199" s="11" t="str">
        <f aca="false">TRIM(IF(INDEX(評価項目対応!$K$6:$K$236,$U199)="","","試験ID: "&amp;INDEX(評価項目対応!$K$6:$K$236,$U199)&amp;"　")&amp;IF(INDEX(評価項目対応!$L$6:$L$236,$U199)="","","判断理由: "&amp;INDEX(評価項目対応!$L$6:$L$236,$U199)))</f>
        <v/>
      </c>
      <c r="U199" s="28" t="n">
        <f aca="false">MATCH($A199,評価項目対応!$A$6:$A$236,0)</f>
        <v>193</v>
      </c>
      <c r="V199" s="28" t="str">
        <f aca="false">IFERROR(VLOOKUP(I199,$X$6:$Y$11,2,FALSE()),"")</f>
        <v/>
      </c>
    </row>
    <row r="200" customFormat="false" ht="78" hidden="false" customHeight="true" outlineLevel="0" collapsed="false">
      <c r="A200" s="13" t="n">
        <v>196</v>
      </c>
      <c r="B200" s="13" t="n">
        <f aca="false">INDEX(評価項目対応!$B$6:$B$236,$U200)</f>
        <v>215</v>
      </c>
      <c r="C200" s="13" t="str">
        <f aca="false">INDEX(評価項目対応!$F$6:$F$236,$U200)</f>
        <v>5.07a</v>
      </c>
      <c r="D200" s="11" t="str">
        <f aca="false">INDEX(評価項目対応!$D$6:$D$236,$U200)</f>
        <v>インシデント対応</v>
      </c>
      <c r="E200" s="11" t="str">
        <f aca="false">INDEX(評価項目対応!$E$6:$E$236,$U200)</f>
        <v>インシデントの封じ込めと緩和のための手順を継続する：特定のランサム
ウェア亜種に関する信頼できるガイダンスを調査し、追加の推奨手順に従
う。</v>
      </c>
      <c r="F200" s="13" t="str">
        <f aca="false">IF($D$4="","",$D$4)</f>
        <v/>
      </c>
      <c r="G200" s="13" t="str">
        <f aca="false">IFERROR(IF(INDEX(評価項目対応!$I$6:$I$236,$U200)="対象","対象",IF(INDEX(評価項目対応!$I$6:$I$236,$U200)="対象外（承認済）","対象外",IF(INDEX(評価項目対応!$I$6:$I$236,$U200)="未確定","n/a",""))),"")</f>
        <v>n/a</v>
      </c>
      <c r="H200" s="25" t="str">
        <f aca="false">IF(ISBLANK(J200),"",IF(J200=5,"Yes",IF(J200=4,"Yes","No")))</f>
        <v/>
      </c>
      <c r="I200" s="18"/>
      <c r="J200" s="26"/>
      <c r="K200" s="18"/>
      <c r="L200" s="18"/>
      <c r="M200" s="11" t="str">
        <f aca="false">IF(INDEX(評価項目対応!$J$6:$J$236,$U200)="","",INDEX(評価項目対応!$J$6:$J$236,$U200))</f>
        <v/>
      </c>
      <c r="N200" s="11" t="str">
        <f aca="false">IF(INDEX(評価項目対応!$N$6:$N$236,$U200)="","",INDEX(評価項目対応!$N$6:$N$236,$U200))</f>
        <v/>
      </c>
      <c r="O200" s="11" t="str">
        <f aca="false">IF(INDEX(評価項目対応!$O$6:$O$236,$U200)="","",INDEX(評価項目対応!$O$6:$O$236,$U200))</f>
        <v/>
      </c>
      <c r="P200" s="27" t="n">
        <f aca="false">COUNTIF(F200:G200,"")+COUNTIF(I200:O200,"")-IF(AND(G200="対象外",K200=""),1,0)</f>
        <v>8</v>
      </c>
      <c r="Q200" s="11" t="str">
        <f aca="false">IF(F200="","会社名コード未設定（D4）",IF(OR(G200="",G200="n/a"),"適用性を確定（評価項目対応I列）",IF(AND(G200="対象外",OR(I200&lt;&gt;"対象外",J200&lt;&gt;"n/a")),"対象外ならR=対象外・S=n/a",IF(AND(G200="対象",OR(I200="対象外",J200="n/a")),"対象なのにR／Sが対象外・n/a",IF(AND(G200="対象",OR(I200="",J200="")),"R・Sを入力",IF(AND(ISNUMBER(J200),ISNUMBER(V200),ABS(N(J200)-N(V200))&gt;=1),"RとSの乖離（案分ならUに明記）",IF(AND(G200="対象",L200=""),"Uに制約・代替策・未検証を記載",IF(AND(G200="対象外",L200=""),"対象外の理由・承認者をUに記載",IF(OR(M200="",N200="",O200=""),"V～Xを入力",IF(P200&gt;0,"未記入あり（P列）","OK"))))))))))</f>
        <v>会社名コード未設定（D4）</v>
      </c>
      <c r="R200" s="11" t="str">
        <f aca="false">IF(INDEX(評価項目対応!$M$6:$M$236,$U200)="","",INDEX(評価項目対応!$M$6:$M$236,$U200))</f>
        <v/>
      </c>
      <c r="S200" s="11" t="str">
        <f aca="false">INDEX(評価項目対応!$H$6:$H$236,$U200)</f>
        <v>既存IR手順・演習記録の該当箇所とChromeOS／クラウドの役割を確認する。新規の全社演習は設けず、不足は責任者へ課題化する。</v>
      </c>
      <c r="T200" s="11" t="str">
        <f aca="false">TRIM(IF(INDEX(評価項目対応!$K$6:$K$236,$U200)="","","試験ID: "&amp;INDEX(評価項目対応!$K$6:$K$236,$U200)&amp;"　")&amp;IF(INDEX(評価項目対応!$L$6:$L$236,$U200)="","","判断理由: "&amp;INDEX(評価項目対応!$L$6:$L$236,$U200)))</f>
        <v/>
      </c>
      <c r="U200" s="28" t="n">
        <f aca="false">MATCH($A200,評価項目対応!$A$6:$A$236,0)</f>
        <v>194</v>
      </c>
      <c r="V200" s="28" t="str">
        <f aca="false">IFERROR(VLOOKUP(I200,$X$6:$Y$11,2,FALSE()),"")</f>
        <v/>
      </c>
    </row>
    <row r="201" customFormat="false" ht="49.5" hidden="false" customHeight="true" outlineLevel="0" collapsed="false">
      <c r="A201" s="13" t="n">
        <v>197</v>
      </c>
      <c r="B201" s="13" t="n">
        <f aca="false">INDEX(評価項目対応!$B$6:$B$236,$U201)</f>
        <v>195</v>
      </c>
      <c r="C201" s="13" t="str">
        <f aca="false">INDEX(評価項目対応!$F$6:$F$236,$U201)</f>
        <v>5.07a</v>
      </c>
      <c r="D201" s="11" t="str">
        <f aca="false">INDEX(評価項目対応!$D$6:$D$236,$U201)</f>
        <v>エンタープライズ環境
調査</v>
      </c>
      <c r="E201" s="11" t="str">
        <f aca="false">INDEX(評価項目対応!$E$6:$E$236,$U201)</f>
        <v>エンタープライズ環境の場合、さまざまな兆候をチェックする。</v>
      </c>
      <c r="F201" s="13" t="str">
        <f aca="false">IF($D$4="","",$D$4)</f>
        <v/>
      </c>
      <c r="G201" s="13" t="str">
        <f aca="false">IFERROR(IF(INDEX(評価項目対応!$I$6:$I$236,$U201)="対象","対象",IF(INDEX(評価項目対応!$I$6:$I$236,$U201)="対象外（承認済）","対象外",IF(INDEX(評価項目対応!$I$6:$I$236,$U201)="未確定","n/a",""))),"")</f>
        <v>n/a</v>
      </c>
      <c r="H201" s="25" t="str">
        <f aca="false">IF(ISBLANK(J201),"",IF(J201=5,"Yes",IF(J201=4,"Yes","No")))</f>
        <v/>
      </c>
      <c r="I201" s="18"/>
      <c r="J201" s="26"/>
      <c r="K201" s="18"/>
      <c r="L201" s="18"/>
      <c r="M201" s="11" t="str">
        <f aca="false">IF(INDEX(評価項目対応!$J$6:$J$236,$U201)="","",INDEX(評価項目対応!$J$6:$J$236,$U201))</f>
        <v/>
      </c>
      <c r="N201" s="11" t="str">
        <f aca="false">IF(INDEX(評価項目対応!$N$6:$N$236,$U201)="","",INDEX(評価項目対応!$N$6:$N$236,$U201))</f>
        <v/>
      </c>
      <c r="O201" s="11" t="str">
        <f aca="false">IF(INDEX(評価項目対応!$O$6:$O$236,$U201)="","",INDEX(評価項目対応!$O$6:$O$236,$U201))</f>
        <v/>
      </c>
      <c r="P201" s="27" t="n">
        <f aca="false">COUNTIF(F201:G201,"")+COUNTIF(I201:O201,"")-IF(AND(G201="対象外",K201=""),1,0)</f>
        <v>8</v>
      </c>
      <c r="Q201" s="11" t="str">
        <f aca="false">IF(F201="","会社名コード未設定（D4）",IF(OR(G201="",G201="n/a"),"適用性を確定（評価項目対応I列）",IF(AND(G201="対象外",OR(I201&lt;&gt;"対象外",J201&lt;&gt;"n/a")),"対象外ならR=対象外・S=n/a",IF(AND(G201="対象",OR(I201="対象外",J201="n/a")),"対象なのにR／Sが対象外・n/a",IF(AND(G201="対象",OR(I201="",J201="")),"R・Sを入力",IF(AND(ISNUMBER(J201),ISNUMBER(V201),ABS(N(J201)-N(V201))&gt;=1),"RとSの乖離（案分ならUに明記）",IF(AND(G201="対象",L201=""),"Uに制約・代替策・未検証を記載",IF(AND(G201="対象外",L201=""),"対象外の理由・承認者をUに記載",IF(OR(M201="",N201="",O201=""),"V～Xを入力",IF(P201&gt;0,"未記入あり（P列）","OK"))))))))))</f>
        <v>会社名コード未設定（D4）</v>
      </c>
      <c r="R201" s="11" t="str">
        <f aca="false">IF(INDEX(評価項目対応!$M$6:$M$236,$U201)="","",INDEX(評価項目対応!$M$6:$M$236,$U201))</f>
        <v/>
      </c>
      <c r="S201" s="11" t="str">
        <f aca="false">INDEX(評価項目対応!$H$6:$H$236,$U201)</f>
        <v>既存IR手順・演習記録の該当箇所とChromeOS／クラウドの役割を確認する。新規の全社演習は設けず、不足は責任者へ課題化する。</v>
      </c>
      <c r="T201" s="11" t="str">
        <f aca="false">TRIM(IF(INDEX(評価項目対応!$K$6:$K$236,$U201)="","","試験ID: "&amp;INDEX(評価項目対応!$K$6:$K$236,$U201)&amp;"　")&amp;IF(INDEX(評価項目対応!$L$6:$L$236,$U201)="","","判断理由: "&amp;INDEX(評価項目対応!$L$6:$L$236,$U201)))</f>
        <v/>
      </c>
      <c r="U201" s="28" t="n">
        <f aca="false">MATCH($A201,評価項目対応!$A$6:$A$236,0)</f>
        <v>195</v>
      </c>
      <c r="V201" s="28" t="str">
        <f aca="false">IFERROR(VLOOKUP(I201,$X$6:$Y$11,2,FALSE()),"")</f>
        <v/>
      </c>
    </row>
    <row r="202" customFormat="false" ht="63.75" hidden="false" customHeight="true" outlineLevel="0" collapsed="false">
      <c r="A202" s="13" t="n">
        <v>198</v>
      </c>
      <c r="B202" s="13" t="n">
        <f aca="false">INDEX(評価項目対応!$B$6:$B$236,$U202)</f>
        <v>198</v>
      </c>
      <c r="C202" s="13" t="str">
        <f aca="false">INDEX(評価項目対応!$F$6:$F$236,$U202)</f>
        <v>5.07a</v>
      </c>
      <c r="D202" s="11" t="str">
        <f aca="false">INDEX(評価項目対応!$D$6:$D$236,$U202)</f>
        <v>エンドポイント変更調
査</v>
      </c>
      <c r="E202" s="11" t="str">
        <f aca="false">INDEX(評価項目対応!$E$6:$E$236,$U202)</f>
        <v>バックアップ、シャドウコピー、ディスクジャーナリング、起動設定を損
なう可能性のあるエンドポイントの変更を確認する。</v>
      </c>
      <c r="F202" s="13" t="str">
        <f aca="false">IF($D$4="","",$D$4)</f>
        <v/>
      </c>
      <c r="G202" s="13" t="str">
        <f aca="false">IFERROR(IF(INDEX(評価項目対応!$I$6:$I$236,$U202)="対象","対象",IF(INDEX(評価項目対応!$I$6:$I$236,$U202)="対象外（承認済）","対象外",IF(INDEX(評価項目対応!$I$6:$I$236,$U202)="未確定","n/a",""))),"")</f>
        <v>n/a</v>
      </c>
      <c r="H202" s="25" t="str">
        <f aca="false">IF(ISBLANK(J202),"",IF(J202=5,"Yes",IF(J202=4,"Yes","No")))</f>
        <v/>
      </c>
      <c r="I202" s="18"/>
      <c r="J202" s="26"/>
      <c r="K202" s="18"/>
      <c r="L202" s="18"/>
      <c r="M202" s="11" t="str">
        <f aca="false">IF(INDEX(評価項目対応!$J$6:$J$236,$U202)="","",INDEX(評価項目対応!$J$6:$J$236,$U202))</f>
        <v/>
      </c>
      <c r="N202" s="11" t="str">
        <f aca="false">IF(INDEX(評価項目対応!$N$6:$N$236,$U202)="","",INDEX(評価項目対応!$N$6:$N$236,$U202))</f>
        <v/>
      </c>
      <c r="O202" s="11" t="str">
        <f aca="false">IF(INDEX(評価項目対応!$O$6:$O$236,$U202)="","",INDEX(評価項目対応!$O$6:$O$236,$U202))</f>
        <v/>
      </c>
      <c r="P202" s="27" t="n">
        <f aca="false">COUNTIF(F202:G202,"")+COUNTIF(I202:O202,"")-IF(AND(G202="対象外",K202=""),1,0)</f>
        <v>8</v>
      </c>
      <c r="Q202" s="11" t="str">
        <f aca="false">IF(F202="","会社名コード未設定（D4）",IF(OR(G202="",G202="n/a"),"適用性を確定（評価項目対応I列）",IF(AND(G202="対象外",OR(I202&lt;&gt;"対象外",J202&lt;&gt;"n/a")),"対象外ならR=対象外・S=n/a",IF(AND(G202="対象",OR(I202="対象外",J202="n/a")),"対象なのにR／Sが対象外・n/a",IF(AND(G202="対象",OR(I202="",J202="")),"R・Sを入力",IF(AND(ISNUMBER(J202),ISNUMBER(V202),ABS(N(J202)-N(V202))&gt;=1),"RとSの乖離（案分ならUに明記）",IF(AND(G202="対象",L202=""),"Uに制約・代替策・未検証を記載",IF(AND(G202="対象外",L202=""),"対象外の理由・承認者をUに記載",IF(OR(M202="",N202="",O202=""),"V～Xを入力",IF(P202&gt;0,"未記入あり（P列）","OK"))))))))))</f>
        <v>会社名コード未設定（D4）</v>
      </c>
      <c r="R202" s="11" t="str">
        <f aca="false">IF(INDEX(評価項目対応!$M$6:$M$236,$U202)="","",INDEX(評価項目対応!$M$6:$M$236,$U202))</f>
        <v/>
      </c>
      <c r="S202" s="11" t="str">
        <f aca="false">INDEX(評価項目対応!$H$6:$H$236,$U202)</f>
        <v>既存IR手順・演習記録の該当箇所とChromeOS／クラウドの役割を確認する。新規の全社演習は設けず、不足は責任者へ課題化する。</v>
      </c>
      <c r="T202" s="11" t="str">
        <f aca="false">TRIM(IF(INDEX(評価項目対応!$K$6:$K$236,$U202)="","","試験ID: "&amp;INDEX(評価項目対応!$K$6:$K$236,$U202)&amp;"　")&amp;IF(INDEX(評価項目対応!$L$6:$L$236,$U202)="","","判断理由: "&amp;INDEX(評価項目対応!$L$6:$L$236,$U202)))</f>
        <v/>
      </c>
      <c r="U202" s="28" t="n">
        <f aca="false">MATCH($A202,評価項目対応!$A$6:$A$236,0)</f>
        <v>196</v>
      </c>
      <c r="V202" s="28" t="str">
        <f aca="false">IFERROR(VLOOKUP(I202,$X$6:$Y$11,2,FALSE()),"")</f>
        <v/>
      </c>
    </row>
    <row r="203" customFormat="false" ht="49.5" hidden="false" customHeight="true" outlineLevel="0" collapsed="false">
      <c r="A203" s="13" t="n">
        <v>199</v>
      </c>
      <c r="B203" s="13" t="n">
        <f aca="false">INDEX(評価項目対応!$B$6:$B$236,$U203)</f>
        <v>207</v>
      </c>
      <c r="C203" s="13" t="str">
        <f aca="false">INDEX(評価項目対応!$F$6:$F$236,$U203)</f>
        <v>5.04</v>
      </c>
      <c r="D203" s="11" t="str">
        <f aca="false">INDEX(評価項目対応!$D$6:$D$236,$U203)</f>
        <v>クラウドの運用管理</v>
      </c>
      <c r="E203" s="11" t="str">
        <f aca="false">INDEX(評価項目対応!$E$6:$E$236,$U203)</f>
        <v>クラウド環境で、IAM、ネットワークセキュリティ、データ保護リソース
への変更を検知・防止するツールを有効化する。</v>
      </c>
      <c r="F203" s="13" t="str">
        <f aca="false">IF($D$4="","",$D$4)</f>
        <v/>
      </c>
      <c r="G203" s="13" t="str">
        <f aca="false">IFERROR(IF(INDEX(評価項目対応!$I$6:$I$236,$U203)="対象","対象",IF(INDEX(評価項目対応!$I$6:$I$236,$U203)="対象外（承認済）","対象外",IF(INDEX(評価項目対応!$I$6:$I$236,$U203)="未確定","n/a",""))),"")</f>
        <v>n/a</v>
      </c>
      <c r="H203" s="25" t="str">
        <f aca="false">IF(ISBLANK(J203),"",IF(J203=5,"Yes",IF(J203=4,"Yes","No")))</f>
        <v/>
      </c>
      <c r="I203" s="18"/>
      <c r="J203" s="26"/>
      <c r="K203" s="18"/>
      <c r="L203" s="18"/>
      <c r="M203" s="11" t="str">
        <f aca="false">IF(INDEX(評価項目対応!$J$6:$J$236,$U203)="","",INDEX(評価項目対応!$J$6:$J$236,$U203))</f>
        <v/>
      </c>
      <c r="N203" s="11" t="str">
        <f aca="false">IF(INDEX(評価項目対応!$N$6:$N$236,$U203)="","",INDEX(評価項目対応!$N$6:$N$236,$U203))</f>
        <v/>
      </c>
      <c r="O203" s="11" t="str">
        <f aca="false">IF(INDEX(評価項目対応!$O$6:$O$236,$U203)="","",INDEX(評価項目対応!$O$6:$O$236,$U203))</f>
        <v/>
      </c>
      <c r="P203" s="27" t="n">
        <f aca="false">COUNTIF(F203:G203,"")+COUNTIF(I203:O203,"")-IF(AND(G203="対象外",K203=""),1,0)</f>
        <v>8</v>
      </c>
      <c r="Q203" s="11" t="str">
        <f aca="false">IF(F203="","会社名コード未設定（D4）",IF(OR(G203="",G203="n/a"),"適用性を確定（評価項目対応I列）",IF(AND(G203="対象外",OR(I203&lt;&gt;"対象外",J203&lt;&gt;"n/a")),"対象外ならR=対象外・S=n/a",IF(AND(G203="対象",OR(I203="対象外",J203="n/a")),"対象なのにR／Sが対象外・n/a",IF(AND(G203="対象",OR(I203="",J203="")),"R・Sを入力",IF(AND(ISNUMBER(J203),ISNUMBER(V203),ABS(N(J203)-N(V203))&gt;=1),"RとSの乖離（案分ならUに明記）",IF(AND(G203="対象",L203=""),"Uに制約・代替策・未検証を記載",IF(AND(G203="対象外",L203=""),"対象外の理由・承認者をUに記載",IF(OR(M203="",N203="",O203=""),"V～Xを入力",IF(P203&gt;0,"未記入あり（P列）","OK"))))))))))</f>
        <v>会社名コード未設定（D4）</v>
      </c>
      <c r="R203" s="11" t="str">
        <f aca="false">IF(INDEX(評価項目対応!$M$6:$M$236,$U203)="","",INDEX(評価項目対応!$M$6:$M$236,$U203))</f>
        <v/>
      </c>
      <c r="S203" s="11" t="str">
        <f aca="false">INDEX(評価項目対応!$H$6:$H$236,$U203)</f>
        <v>ログ保管、監視、告知・自動対応の利用可能範囲を確認する。13か月保持要件は種類別に差分評価する。</v>
      </c>
      <c r="T203" s="11" t="str">
        <f aca="false">TRIM(IF(INDEX(評価項目対応!$K$6:$K$236,$U203)="","","試験ID: "&amp;INDEX(評価項目対応!$K$6:$K$236,$U203)&amp;"　")&amp;IF(INDEX(評価項目対応!$L$6:$L$236,$U203)="","","判断理由: "&amp;INDEX(評価項目対応!$L$6:$L$236,$U203)))</f>
        <v/>
      </c>
      <c r="U203" s="28" t="n">
        <f aca="false">MATCH($A203,評価項目対応!$A$6:$A$236,0)</f>
        <v>197</v>
      </c>
      <c r="V203" s="28" t="str">
        <f aca="false">IFERROR(VLOOKUP(I203,$X$6:$Y$11,2,FALSE()),"")</f>
        <v/>
      </c>
    </row>
    <row r="204" customFormat="false" ht="49.5" hidden="false" customHeight="true" outlineLevel="0" collapsed="false">
      <c r="A204" s="13" t="n">
        <v>200</v>
      </c>
      <c r="B204" s="13" t="n">
        <f aca="false">INDEX(評価項目対応!$B$6:$B$236,$U204)</f>
        <v>208</v>
      </c>
      <c r="C204" s="13" t="str">
        <f aca="false">INDEX(評価項目対応!$F$6:$F$236,$U204)</f>
        <v>5.04</v>
      </c>
      <c r="D204" s="11" t="str">
        <f aca="false">INDEX(評価項目対応!$D$6:$D$236,$U204)</f>
        <v>クラウドの運用管理</v>
      </c>
      <c r="E204" s="11" t="str">
        <f aca="false">INDEX(評価項目対応!$E$6:$E$236,$U204)</f>
        <v>クラウド環境で、一般的な問題を自動検知し、発生時に自動アクションを
取るオートメーションを使用する。</v>
      </c>
      <c r="F204" s="13" t="str">
        <f aca="false">IF($D$4="","",$D$4)</f>
        <v/>
      </c>
      <c r="G204" s="13" t="str">
        <f aca="false">IFERROR(IF(INDEX(評価項目対応!$I$6:$I$236,$U204)="対象","対象",IF(INDEX(評価項目対応!$I$6:$I$236,$U204)="対象外（承認済）","対象外",IF(INDEX(評価項目対応!$I$6:$I$236,$U204)="未確定","n/a",""))),"")</f>
        <v>n/a</v>
      </c>
      <c r="H204" s="25" t="str">
        <f aca="false">IF(ISBLANK(J204),"",IF(J204=5,"Yes",IF(J204=4,"Yes","No")))</f>
        <v/>
      </c>
      <c r="I204" s="18"/>
      <c r="J204" s="26"/>
      <c r="K204" s="18"/>
      <c r="L204" s="18"/>
      <c r="M204" s="11" t="str">
        <f aca="false">IF(INDEX(評価項目対応!$J$6:$J$236,$U204)="","",INDEX(評価項目対応!$J$6:$J$236,$U204))</f>
        <v/>
      </c>
      <c r="N204" s="11" t="str">
        <f aca="false">IF(INDEX(評価項目対応!$N$6:$N$236,$U204)="","",INDEX(評価項目対応!$N$6:$N$236,$U204))</f>
        <v/>
      </c>
      <c r="O204" s="11" t="str">
        <f aca="false">IF(INDEX(評価項目対応!$O$6:$O$236,$U204)="","",INDEX(評価項目対応!$O$6:$O$236,$U204))</f>
        <v/>
      </c>
      <c r="P204" s="27" t="n">
        <f aca="false">COUNTIF(F204:G204,"")+COUNTIF(I204:O204,"")-IF(AND(G204="対象外",K204=""),1,0)</f>
        <v>8</v>
      </c>
      <c r="Q204" s="11" t="str">
        <f aca="false">IF(F204="","会社名コード未設定（D4）",IF(OR(G204="",G204="n/a"),"適用性を確定（評価項目対応I列）",IF(AND(G204="対象外",OR(I204&lt;&gt;"対象外",J204&lt;&gt;"n/a")),"対象外ならR=対象外・S=n/a",IF(AND(G204="対象",OR(I204="対象外",J204="n/a")),"対象なのにR／Sが対象外・n/a",IF(AND(G204="対象",OR(I204="",J204="")),"R・Sを入力",IF(AND(ISNUMBER(J204),ISNUMBER(V204),ABS(N(J204)-N(V204))&gt;=1),"RとSの乖離（案分ならUに明記）",IF(AND(G204="対象",L204=""),"Uに制約・代替策・未検証を記載",IF(AND(G204="対象外",L204=""),"対象外の理由・承認者をUに記載",IF(OR(M204="",N204="",O204=""),"V～Xを入力",IF(P204&gt;0,"未記入あり（P列）","OK"))))))))))</f>
        <v>会社名コード未設定（D4）</v>
      </c>
      <c r="R204" s="11" t="str">
        <f aca="false">IF(INDEX(評価項目対応!$M$6:$M$236,$U204)="","",INDEX(評価項目対応!$M$6:$M$236,$U204))</f>
        <v/>
      </c>
      <c r="S204" s="11" t="str">
        <f aca="false">INDEX(評価項目対応!$H$6:$H$236,$U204)</f>
        <v>ログ保管、監視、告知・自動対応の利用可能範囲を確認する。13か月保持要件は種類別に差分評価する。</v>
      </c>
      <c r="T204" s="11" t="str">
        <f aca="false">TRIM(IF(INDEX(評価項目対応!$K$6:$K$236,$U204)="","","試験ID: "&amp;INDEX(評価項目対応!$K$6:$K$236,$U204)&amp;"　")&amp;IF(INDEX(評価項目対応!$L$6:$L$236,$U204)="","","判断理由: "&amp;INDEX(評価項目対応!$L$6:$L$236,$U204)))</f>
        <v/>
      </c>
      <c r="U204" s="28" t="n">
        <f aca="false">MATCH($A204,評価項目対応!$A$6:$A$236,0)</f>
        <v>198</v>
      </c>
      <c r="V204" s="28" t="str">
        <f aca="false">IFERROR(VLOOKUP(I204,$X$6:$Y$11,2,FALSE()),"")</f>
        <v/>
      </c>
    </row>
    <row r="205" customFormat="false" ht="63.75" hidden="false" customHeight="true" outlineLevel="0" collapsed="false">
      <c r="A205" s="13" t="n">
        <v>201</v>
      </c>
      <c r="B205" s="13" t="n">
        <f aca="false">INDEX(評価項目対応!$B$6:$B$236,$U205)</f>
        <v>220</v>
      </c>
      <c r="C205" s="13" t="str">
        <f aca="false">INDEX(評価項目対応!$F$6:$F$236,$U205)</f>
        <v>5.07a</v>
      </c>
      <c r="D205" s="11" t="str">
        <f aca="false">INDEX(評価項目対応!$D$6:$D$236,$U205)</f>
        <v>サーバー側暗号化調査</v>
      </c>
      <c r="E205" s="11" t="str">
        <f aca="false">INDEX(評価項目対応!$E$6:$E$236,$U205)</f>
        <v>感染したワークステーションによってサーバー側のデータが暗号化されて
いる場合、サーバー側のデータ暗号化の迅速な特定手順に従う。</v>
      </c>
      <c r="F205" s="13" t="str">
        <f aca="false">IF($D$4="","",$D$4)</f>
        <v/>
      </c>
      <c r="G205" s="13" t="str">
        <f aca="false">IFERROR(IF(INDEX(評価項目対応!$I$6:$I$236,$U205)="対象","対象",IF(INDEX(評価項目対応!$I$6:$I$236,$U205)="対象外（承認済）","対象外",IF(INDEX(評価項目対応!$I$6:$I$236,$U205)="未確定","n/a",""))),"")</f>
        <v>n/a</v>
      </c>
      <c r="H205" s="25" t="str">
        <f aca="false">IF(ISBLANK(J205),"",IF(J205=5,"Yes",IF(J205=4,"Yes","No")))</f>
        <v/>
      </c>
      <c r="I205" s="18"/>
      <c r="J205" s="26"/>
      <c r="K205" s="18"/>
      <c r="L205" s="18"/>
      <c r="M205" s="11" t="str">
        <f aca="false">IF(INDEX(評価項目対応!$J$6:$J$236,$U205)="","",INDEX(評価項目対応!$J$6:$J$236,$U205))</f>
        <v/>
      </c>
      <c r="N205" s="11" t="str">
        <f aca="false">IF(INDEX(評価項目対応!$N$6:$N$236,$U205)="","",INDEX(評価項目対応!$N$6:$N$236,$U205))</f>
        <v/>
      </c>
      <c r="O205" s="11" t="str">
        <f aca="false">IF(INDEX(評価項目対応!$O$6:$O$236,$U205)="","",INDEX(評価項目対応!$O$6:$O$236,$U205))</f>
        <v/>
      </c>
      <c r="P205" s="27" t="n">
        <f aca="false">COUNTIF(F205:G205,"")+COUNTIF(I205:O205,"")-IF(AND(G205="対象外",K205=""),1,0)</f>
        <v>8</v>
      </c>
      <c r="Q205" s="11" t="str">
        <f aca="false">IF(F205="","会社名コード未設定（D4）",IF(OR(G205="",G205="n/a"),"適用性を確定（評価項目対応I列）",IF(AND(G205="対象外",OR(I205&lt;&gt;"対象外",J205&lt;&gt;"n/a")),"対象外ならR=対象外・S=n/a",IF(AND(G205="対象",OR(I205="対象外",J205="n/a")),"対象なのにR／Sが対象外・n/a",IF(AND(G205="対象",OR(I205="",J205="")),"R・Sを入力",IF(AND(ISNUMBER(J205),ISNUMBER(V205),ABS(N(J205)-N(V205))&gt;=1),"RとSの乖離（案分ならUに明記）",IF(AND(G205="対象",L205=""),"Uに制約・代替策・未検証を記載",IF(AND(G205="対象外",L205=""),"対象外の理由・承認者をUに記載",IF(OR(M205="",N205="",O205=""),"V～Xを入力",IF(P205&gt;0,"未記入あり（P列）","OK"))))))))))</f>
        <v>会社名コード未設定（D4）</v>
      </c>
      <c r="R205" s="11" t="str">
        <f aca="false">IF(INDEX(評価項目対応!$M$6:$M$236,$U205)="","",INDEX(評価項目対応!$M$6:$M$236,$U205))</f>
        <v/>
      </c>
      <c r="S205" s="11" t="str">
        <f aca="false">INDEX(評価項目対応!$H$6:$H$236,$U205)</f>
        <v>既存IR手順・演習記録の該当箇所とChromeOS／クラウドの役割を確認する。新規の全社演習は設けず、不足は責任者へ課題化する。</v>
      </c>
      <c r="T205" s="11" t="str">
        <f aca="false">TRIM(IF(INDEX(評価項目対応!$K$6:$K$236,$U205)="","","試験ID: "&amp;INDEX(評価項目対応!$K$6:$K$236,$U205)&amp;"　")&amp;IF(INDEX(評価項目対応!$L$6:$L$236,$U205)="","","判断理由: "&amp;INDEX(評価項目対応!$L$6:$L$236,$U205)))</f>
        <v/>
      </c>
      <c r="U205" s="28" t="n">
        <f aca="false">MATCH($A205,評価項目対応!$A$6:$A$236,0)</f>
        <v>199</v>
      </c>
      <c r="V205" s="28" t="str">
        <f aca="false">IFERROR(VLOOKUP(I205,$X$6:$Y$11,2,FALSE()),"")</f>
        <v/>
      </c>
    </row>
    <row r="206" customFormat="false" ht="49.5" hidden="false" customHeight="true" outlineLevel="0" collapsed="false">
      <c r="A206" s="13" t="n">
        <v>202</v>
      </c>
      <c r="B206" s="13" t="n">
        <f aca="false">INDEX(評価項目対応!$B$6:$B$236,$U206)</f>
        <v>227</v>
      </c>
      <c r="C206" s="13" t="str">
        <f aca="false">INDEX(評価項目対応!$F$6:$F$236,$U206)</f>
        <v>5.02</v>
      </c>
      <c r="D206" s="11" t="str">
        <f aca="false">INDEX(評価項目対応!$D$6:$D$236,$U206)</f>
        <v>システム再構築</v>
      </c>
      <c r="E206" s="11" t="str">
        <f aca="false">INDEX(評価項目対応!$E$6:$E$236,$U206)</f>
        <v>重要なサービスの優先度に基づいてシステムを再構築する。</v>
      </c>
      <c r="F206" s="13" t="str">
        <f aca="false">IF($D$4="","",$D$4)</f>
        <v/>
      </c>
      <c r="G206" s="13" t="str">
        <f aca="false">IFERROR(IF(INDEX(評価項目対応!$I$6:$I$236,$U206)="対象","対象",IF(INDEX(評価項目対応!$I$6:$I$236,$U206)="対象外（承認済）","対象外",IF(INDEX(評価項目対応!$I$6:$I$236,$U206)="未確定","n/a",""))),"")</f>
        <v>n/a</v>
      </c>
      <c r="H206" s="25" t="str">
        <f aca="false">IF(ISBLANK(J206),"",IF(J206=5,"Yes",IF(J206=4,"Yes","No")))</f>
        <v/>
      </c>
      <c r="I206" s="18"/>
      <c r="J206" s="26"/>
      <c r="K206" s="18"/>
      <c r="L206" s="18"/>
      <c r="M206" s="11" t="str">
        <f aca="false">IF(INDEX(評価項目対応!$J$6:$J$236,$U206)="","",INDEX(評価項目対応!$J$6:$J$236,$U206))</f>
        <v/>
      </c>
      <c r="N206" s="11" t="str">
        <f aca="false">IF(INDEX(評価項目対応!$N$6:$N$236,$U206)="","",INDEX(評価項目対応!$N$6:$N$236,$U206))</f>
        <v/>
      </c>
      <c r="O206" s="11" t="str">
        <f aca="false">IF(INDEX(評価項目対応!$O$6:$O$236,$U206)="","",INDEX(評価項目対応!$O$6:$O$236,$U206))</f>
        <v/>
      </c>
      <c r="P206" s="27" t="n">
        <f aca="false">COUNTIF(F206:G206,"")+COUNTIF(I206:O206,"")-IF(AND(G206="対象外",K206=""),1,0)</f>
        <v>8</v>
      </c>
      <c r="Q206" s="11" t="str">
        <f aca="false">IF(F206="","会社名コード未設定（D4）",IF(OR(G206="",G206="n/a"),"適用性を確定（評価項目対応I列）",IF(AND(G206="対象外",OR(I206&lt;&gt;"対象外",J206&lt;&gt;"n/a")),"対象外ならR=対象外・S=n/a",IF(AND(G206="対象",OR(I206="対象外",J206="n/a")),"対象なのにR／Sが対象外・n/a",IF(AND(G206="対象",OR(I206="",J206="")),"R・Sを入力",IF(AND(ISNUMBER(J206),ISNUMBER(V206),ABS(N(J206)-N(V206))&gt;=1),"RとSの乖離（案分ならUに明記）",IF(AND(G206="対象",L206=""),"Uに制約・代替策・未検証を記載",IF(AND(G206="対象外",L206=""),"対象外の理由・承認者をUに記載",IF(OR(M206="",N206="",O206=""),"V～Xを入力",IF(P206&gt;0,"未記入あり（P列）","OK"))))))))))</f>
        <v>会社名コード未設定（D4）</v>
      </c>
      <c r="R206" s="11" t="str">
        <f aca="false">IF(INDEX(評価項目対応!$M$6:$M$236,$U206)="","",INDEX(評価項目対応!$M$6:$M$236,$U206))</f>
        <v/>
      </c>
      <c r="S206" s="11" t="str">
        <f aca="false">INDEX(評価項目対応!$H$6:$H$236,$U206)</f>
        <v>5.01の既存復元証跡を先に評価する。証跡不足または保護方式・保存先変更時のみデータ管理担当が追加復元試験を実施する。</v>
      </c>
      <c r="T206" s="11" t="str">
        <f aca="false">TRIM(IF(INDEX(評価項目対応!$K$6:$K$236,$U206)="","","試験ID: "&amp;INDEX(評価項目対応!$K$6:$K$236,$U206)&amp;"　")&amp;IF(INDEX(評価項目対応!$L$6:$L$236,$U206)="","","判断理由: "&amp;INDEX(評価項目対応!$L$6:$L$236,$U206)))</f>
        <v/>
      </c>
      <c r="U206" s="28" t="n">
        <f aca="false">MATCH($A206,評価項目対応!$A$6:$A$236,0)</f>
        <v>200</v>
      </c>
      <c r="V206" s="28" t="str">
        <f aca="false">IFERROR(VLOOKUP(I206,$X$6:$Y$11,2,FALSE()),"")</f>
        <v/>
      </c>
    </row>
    <row r="207" customFormat="false" ht="63.75" hidden="false" customHeight="true" outlineLevel="0" collapsed="false">
      <c r="A207" s="13" t="n">
        <v>203</v>
      </c>
      <c r="B207" s="13" t="n">
        <f aca="false">INDEX(評価項目対応!$B$6:$B$236,$U207)</f>
        <v>209</v>
      </c>
      <c r="C207" s="13" t="str">
        <f aca="false">INDEX(評価項目対応!$F$6:$F$236,$U207)</f>
        <v>5.07a</v>
      </c>
      <c r="D207" s="11" t="str">
        <f aca="false">INDEX(評価項目対応!$D$6:$D$236,$U207)</f>
        <v>ステークホルダー連携</v>
      </c>
      <c r="E207" s="11" t="str">
        <f aca="false">INDEX(評価項目対応!$E$6:$E$236,$U207)</f>
        <v>サイバーインシデント対応および通信計画に概説されている通知要件に従
い、内部および外部のチームとステークホルダーを関与させる。</v>
      </c>
      <c r="F207" s="13" t="str">
        <f aca="false">IF($D$4="","",$D$4)</f>
        <v/>
      </c>
      <c r="G207" s="13" t="str">
        <f aca="false">IFERROR(IF(INDEX(評価項目対応!$I$6:$I$236,$U207)="対象","対象",IF(INDEX(評価項目対応!$I$6:$I$236,$U207)="対象外（承認済）","対象外",IF(INDEX(評価項目対応!$I$6:$I$236,$U207)="未確定","n/a",""))),"")</f>
        <v>n/a</v>
      </c>
      <c r="H207" s="25" t="str">
        <f aca="false">IF(ISBLANK(J207),"",IF(J207=5,"Yes",IF(J207=4,"Yes","No")))</f>
        <v/>
      </c>
      <c r="I207" s="18"/>
      <c r="J207" s="26"/>
      <c r="K207" s="18"/>
      <c r="L207" s="18"/>
      <c r="M207" s="11" t="str">
        <f aca="false">IF(INDEX(評価項目対応!$J$6:$J$236,$U207)="","",INDEX(評価項目対応!$J$6:$J$236,$U207))</f>
        <v/>
      </c>
      <c r="N207" s="11" t="str">
        <f aca="false">IF(INDEX(評価項目対応!$N$6:$N$236,$U207)="","",INDEX(評価項目対応!$N$6:$N$236,$U207))</f>
        <v/>
      </c>
      <c r="O207" s="11" t="str">
        <f aca="false">IF(INDEX(評価項目対応!$O$6:$O$236,$U207)="","",INDEX(評価項目対応!$O$6:$O$236,$U207))</f>
        <v/>
      </c>
      <c r="P207" s="27" t="n">
        <f aca="false">COUNTIF(F207:G207,"")+COUNTIF(I207:O207,"")-IF(AND(G207="対象外",K207=""),1,0)</f>
        <v>8</v>
      </c>
      <c r="Q207" s="11" t="str">
        <f aca="false">IF(F207="","会社名コード未設定（D4）",IF(OR(G207="",G207="n/a"),"適用性を確定（評価項目対応I列）",IF(AND(G207="対象外",OR(I207&lt;&gt;"対象外",J207&lt;&gt;"n/a")),"対象外ならR=対象外・S=n/a",IF(AND(G207="対象",OR(I207="対象外",J207="n/a")),"対象なのにR／Sが対象外・n/a",IF(AND(G207="対象",OR(I207="",J207="")),"R・Sを入力",IF(AND(ISNUMBER(J207),ISNUMBER(V207),ABS(N(J207)-N(V207))&gt;=1),"RとSの乖離（案分ならUに明記）",IF(AND(G207="対象",L207=""),"Uに制約・代替策・未検証を記載",IF(AND(G207="対象外",L207=""),"対象外の理由・承認者をUに記載",IF(OR(M207="",N207="",O207=""),"V～Xを入力",IF(P207&gt;0,"未記入あり（P列）","OK"))))))))))</f>
        <v>会社名コード未設定（D4）</v>
      </c>
      <c r="R207" s="11" t="str">
        <f aca="false">IF(INDEX(評価項目対応!$M$6:$M$236,$U207)="","",INDEX(評価項目対応!$M$6:$M$236,$U207))</f>
        <v/>
      </c>
      <c r="S207" s="11" t="str">
        <f aca="false">INDEX(評価項目対応!$H$6:$H$236,$U207)</f>
        <v>既存IR手順・演習記録の該当箇所とChromeOS／クラウドの役割を確認する。新規の全社演習は設けず、不足は責任者へ課題化する。</v>
      </c>
      <c r="T207" s="11" t="str">
        <f aca="false">TRIM(IF(INDEX(評価項目対応!$K$6:$K$236,$U207)="","","試験ID: "&amp;INDEX(評価項目対応!$K$6:$K$236,$U207)&amp;"　")&amp;IF(INDEX(評価項目対応!$L$6:$L$236,$U207)="","","判断理由: "&amp;INDEX(評価項目対応!$L$6:$L$236,$U207)))</f>
        <v/>
      </c>
      <c r="U207" s="28" t="n">
        <f aca="false">MATCH($A207,評価項目対応!$A$6:$A$236,0)</f>
        <v>201</v>
      </c>
      <c r="V207" s="28" t="str">
        <f aca="false">IFERROR(VLOOKUP(I207,$X$6:$Y$11,2,FALSE()),"")</f>
        <v/>
      </c>
    </row>
    <row r="208" customFormat="false" ht="78" hidden="false" customHeight="true" outlineLevel="0" collapsed="false">
      <c r="A208" s="13" t="n">
        <v>204</v>
      </c>
      <c r="B208" s="13" t="n">
        <f aca="false">INDEX(評価項目対応!$B$6:$B$236,$U208)</f>
        <v>221</v>
      </c>
      <c r="C208" s="13" t="str">
        <f aca="false">INDEX(評価項目対応!$F$6:$F$236,$U208)</f>
        <v>5.07a</v>
      </c>
      <c r="D208" s="11" t="str">
        <f aca="false">INDEX(評価項目対応!$D$6:$D$236,$U208)</f>
        <v>セッション調査</v>
      </c>
      <c r="E208" s="11" t="str">
        <f aca="false">INDEX(評価項目対応!$E$6:$E$236,$U208)</f>
        <v>関連するサーバーのコンピュータ管理 &gt; セッションとオープンファイル
のリストを確認し、それらのファイルにアクセスしているユーザーまたは
システムを特定する。</v>
      </c>
      <c r="F208" s="13" t="str">
        <f aca="false">IF($D$4="","",$D$4)</f>
        <v/>
      </c>
      <c r="G208" s="13" t="str">
        <f aca="false">IFERROR(IF(INDEX(評価項目対応!$I$6:$I$236,$U208)="対象","対象",IF(INDEX(評価項目対応!$I$6:$I$236,$U208)="対象外（承認済）","対象外",IF(INDEX(評価項目対応!$I$6:$I$236,$U208)="未確定","n/a",""))),"")</f>
        <v>n/a</v>
      </c>
      <c r="H208" s="25" t="str">
        <f aca="false">IF(ISBLANK(J208),"",IF(J208=5,"Yes",IF(J208=4,"Yes","No")))</f>
        <v/>
      </c>
      <c r="I208" s="18"/>
      <c r="J208" s="26"/>
      <c r="K208" s="18"/>
      <c r="L208" s="18"/>
      <c r="M208" s="11" t="str">
        <f aca="false">IF(INDEX(評価項目対応!$J$6:$J$236,$U208)="","",INDEX(評価項目対応!$J$6:$J$236,$U208))</f>
        <v/>
      </c>
      <c r="N208" s="11" t="str">
        <f aca="false">IF(INDEX(評価項目対応!$N$6:$N$236,$U208)="","",INDEX(評価項目対応!$N$6:$N$236,$U208))</f>
        <v/>
      </c>
      <c r="O208" s="11" t="str">
        <f aca="false">IF(INDEX(評価項目対応!$O$6:$O$236,$U208)="","",INDEX(評価項目対応!$O$6:$O$236,$U208))</f>
        <v/>
      </c>
      <c r="P208" s="27" t="n">
        <f aca="false">COUNTIF(F208:G208,"")+COUNTIF(I208:O208,"")-IF(AND(G208="対象外",K208=""),1,0)</f>
        <v>8</v>
      </c>
      <c r="Q208" s="11" t="str">
        <f aca="false">IF(F208="","会社名コード未設定（D4）",IF(OR(G208="",G208="n/a"),"適用性を確定（評価項目対応I列）",IF(AND(G208="対象外",OR(I208&lt;&gt;"対象外",J208&lt;&gt;"n/a")),"対象外ならR=対象外・S=n/a",IF(AND(G208="対象",OR(I208="対象外",J208="n/a")),"対象なのにR／Sが対象外・n/a",IF(AND(G208="対象",OR(I208="",J208="")),"R・Sを入力",IF(AND(ISNUMBER(J208),ISNUMBER(V208),ABS(N(J208)-N(V208))&gt;=1),"RとSの乖離（案分ならUに明記）",IF(AND(G208="対象",L208=""),"Uに制約・代替策・未検証を記載",IF(AND(G208="対象外",L208=""),"対象外の理由・承認者をUに記載",IF(OR(M208="",N208="",O208=""),"V～Xを入力",IF(P208&gt;0,"未記入あり（P列）","OK"))))))))))</f>
        <v>会社名コード未設定（D4）</v>
      </c>
      <c r="R208" s="11" t="str">
        <f aca="false">IF(INDEX(評価項目対応!$M$6:$M$236,$U208)="","",INDEX(評価項目対応!$M$6:$M$236,$U208))</f>
        <v/>
      </c>
      <c r="S208" s="11" t="str">
        <f aca="false">INDEX(評価項目対応!$H$6:$H$236,$U208)</f>
        <v>既存IR手順・演習記録の該当箇所とChromeOS／クラウドの役割を確認する。新規の全社演習は設けず、不足は責任者へ課題化する。</v>
      </c>
      <c r="T208" s="11" t="str">
        <f aca="false">TRIM(IF(INDEX(評価項目対応!$K$6:$K$236,$U208)="","","試験ID: "&amp;INDEX(評価項目対応!$K$6:$K$236,$U208)&amp;"　")&amp;IF(INDEX(評価項目対応!$L$6:$L$236,$U208)="","","判断理由: "&amp;INDEX(評価項目対応!$L$6:$L$236,$U208)))</f>
        <v/>
      </c>
      <c r="U208" s="28" t="n">
        <f aca="false">MATCH($A208,評価項目対応!$A$6:$A$236,0)</f>
        <v>202</v>
      </c>
      <c r="V208" s="28" t="str">
        <f aca="false">IFERROR(VLOOKUP(I208,$X$6:$Y$11,2,FALSE()),"")</f>
        <v/>
      </c>
    </row>
    <row r="209" customFormat="false" ht="78" hidden="false" customHeight="true" outlineLevel="0" collapsed="false">
      <c r="A209" s="13" t="n">
        <v>205</v>
      </c>
      <c r="B209" s="13" t="n">
        <f aca="false">INDEX(評価項目対応!$B$6:$B$236,$U209)</f>
        <v>199</v>
      </c>
      <c r="C209" s="13" t="str">
        <f aca="false">INDEX(評価項目対応!$F$6:$F$236,$U209)</f>
        <v>4.04d</v>
      </c>
      <c r="D209" s="11" t="str">
        <f aca="false">INDEX(評価項目対応!$D$6:$D$236,$U209)</f>
        <v>ツール使用調査</v>
      </c>
      <c r="E209" s="11" t="str">
        <f aca="false">INDEX(評価項目対応!$E$6:$E$236,$U209)</f>
        <v>bcdedit.exe、fsutil.exe（deletejournal）、vssadmin.exe、wbadmin.ex
e、wmic.exe（shadowcopyまたはshadowstorage）などの組み込みWindows
ツールの異常な使用を監視する。</v>
      </c>
      <c r="F209" s="13" t="str">
        <f aca="false">IF($D$4="","",$D$4)</f>
        <v/>
      </c>
      <c r="G209" s="13" t="str">
        <f aca="false">IFERROR(IF(INDEX(評価項目対応!$I$6:$I$236,$U209)="対象","対象",IF(INDEX(評価項目対応!$I$6:$I$236,$U209)="対象外（承認済）","対象外",IF(INDEX(評価項目対応!$I$6:$I$236,$U209)="未確定","n/a",""))),"")</f>
        <v>n/a</v>
      </c>
      <c r="H209" s="25" t="str">
        <f aca="false">IF(ISBLANK(J209),"",IF(J209=5,"Yes",IF(J209=4,"Yes","No")))</f>
        <v/>
      </c>
      <c r="I209" s="18"/>
      <c r="J209" s="26"/>
      <c r="K209" s="18"/>
      <c r="L209" s="18"/>
      <c r="M209" s="11" t="str">
        <f aca="false">IF(INDEX(評価項目対応!$J$6:$J$236,$U209)="","",INDEX(評価項目対応!$J$6:$J$236,$U209))</f>
        <v/>
      </c>
      <c r="N209" s="11" t="str">
        <f aca="false">IF(INDEX(評価項目対応!$N$6:$N$236,$U209)="","",INDEX(評価項目対応!$N$6:$N$236,$U209))</f>
        <v/>
      </c>
      <c r="O209" s="11" t="str">
        <f aca="false">IF(INDEX(評価項目対応!$O$6:$O$236,$U209)="","",INDEX(評価項目対応!$O$6:$O$236,$U209))</f>
        <v/>
      </c>
      <c r="P209" s="27" t="n">
        <f aca="false">COUNTIF(F209:G209,"")+COUNTIF(I209:O209,"")-IF(AND(G209="対象外",K209=""),1,0)</f>
        <v>8</v>
      </c>
      <c r="Q209" s="11" t="str">
        <f aca="false">IF(F209="","会社名コード未設定（D4）",IF(OR(G209="",G209="n/a"),"適用性を確定（評価項目対応I列）",IF(AND(G209="対象外",OR(I209&lt;&gt;"対象外",J209&lt;&gt;"n/a")),"対象外ならR=対象外・S=n/a",IF(AND(G209="対象",OR(I209="対象外",J209="n/a")),"対象なのにR／Sが対象外・n/a",IF(AND(G209="対象",OR(I209="",J209="")),"R・Sを入力",IF(AND(ISNUMBER(J209),ISNUMBER(V209),ABS(N(J209)-N(V209))&gt;=1),"RとSの乖離（案分ならUに明記）",IF(AND(G209="対象",L209=""),"Uに制約・代替策・未検証を記載",IF(AND(G209="対象外",L209=""),"対象外の理由・承認者をUに記載",IF(OR(M209="",N209="",O209=""),"V～Xを入力",IF(P209&gt;0,"未記入あり（P列）","OK"))))))))))</f>
        <v>会社名コード未設定（D4）</v>
      </c>
      <c r="R209" s="11" t="str">
        <f aca="false">IF(INDEX(評価項目対応!$M$6:$M$236,$U209)="","",INDEX(評価項目対応!$M$6:$M$236,$U209))</f>
        <v/>
      </c>
      <c r="S209" s="11" t="str">
        <f aca="false">INDEX(評価項目対応!$H$6:$H$236,$U209)</f>
        <v>仮想化基盤、アプリ制御、アンチマルウェア運用、ツール使用調査、認証ログの既存証跡を担当者から受領し、ChromeOSで変わる点のみ補足する。</v>
      </c>
      <c r="T209" s="11" t="str">
        <f aca="false">TRIM(IF(INDEX(評価項目対応!$K$6:$K$236,$U209)="","","試験ID: "&amp;INDEX(評価項目対応!$K$6:$K$236,$U209)&amp;"　")&amp;IF(INDEX(評価項目対応!$L$6:$L$236,$U209)="","","判断理由: "&amp;INDEX(評価項目対応!$L$6:$L$236,$U209)))</f>
        <v/>
      </c>
      <c r="U209" s="28" t="n">
        <f aca="false">MATCH($A209,評価項目対応!$A$6:$A$236,0)</f>
        <v>203</v>
      </c>
      <c r="V209" s="28" t="str">
        <f aca="false">IFERROR(VLOOKUP(I209,$X$6:$Y$11,2,FALSE()),"")</f>
        <v/>
      </c>
    </row>
    <row r="210" customFormat="false" ht="49.5" hidden="false" customHeight="true" outlineLevel="0" collapsed="false">
      <c r="A210" s="13" t="n">
        <v>206</v>
      </c>
      <c r="B210" s="13" t="n">
        <f aca="false">INDEX(評価項目対応!$B$6:$B$236,$U210)</f>
        <v>229</v>
      </c>
      <c r="C210" s="13" t="str">
        <f aca="false">INDEX(評価項目対応!$F$6:$F$236,$U210)</f>
        <v>5.02</v>
      </c>
      <c r="D210" s="11" t="str">
        <f aca="false">INDEX(評価項目対応!$D$6:$D$236,$U210)</f>
        <v>データ管理</v>
      </c>
      <c r="E210" s="11" t="str">
        <f aca="false">INDEX(評価項目対応!$E$6:$E$236,$U210)</f>
        <v>重要サービスの優先順位に基づいて、オフラインの暗号化されたバックア
ップからシステムを再接続し、データを復元する。</v>
      </c>
      <c r="F210" s="13" t="str">
        <f aca="false">IF($D$4="","",$D$4)</f>
        <v/>
      </c>
      <c r="G210" s="13" t="str">
        <f aca="false">IFERROR(IF(INDEX(評価項目対応!$I$6:$I$236,$U210)="対象","対象",IF(INDEX(評価項目対応!$I$6:$I$236,$U210)="対象外（承認済）","対象外",IF(INDEX(評価項目対応!$I$6:$I$236,$U210)="未確定","n/a",""))),"")</f>
        <v>n/a</v>
      </c>
      <c r="H210" s="25" t="str">
        <f aca="false">IF(ISBLANK(J210),"",IF(J210=5,"Yes",IF(J210=4,"Yes","No")))</f>
        <v/>
      </c>
      <c r="I210" s="18"/>
      <c r="J210" s="26"/>
      <c r="K210" s="18"/>
      <c r="L210" s="18"/>
      <c r="M210" s="11" t="str">
        <f aca="false">IF(INDEX(評価項目対応!$J$6:$J$236,$U210)="","",INDEX(評価項目対応!$J$6:$J$236,$U210))</f>
        <v/>
      </c>
      <c r="N210" s="11" t="str">
        <f aca="false">IF(INDEX(評価項目対応!$N$6:$N$236,$U210)="","",INDEX(評価項目対応!$N$6:$N$236,$U210))</f>
        <v/>
      </c>
      <c r="O210" s="11" t="str">
        <f aca="false">IF(INDEX(評価項目対応!$O$6:$O$236,$U210)="","",INDEX(評価項目対応!$O$6:$O$236,$U210))</f>
        <v/>
      </c>
      <c r="P210" s="27" t="n">
        <f aca="false">COUNTIF(F210:G210,"")+COUNTIF(I210:O210,"")-IF(AND(G210="対象外",K210=""),1,0)</f>
        <v>8</v>
      </c>
      <c r="Q210" s="11" t="str">
        <f aca="false">IF(F210="","会社名コード未設定（D4）",IF(OR(G210="",G210="n/a"),"適用性を確定（評価項目対応I列）",IF(AND(G210="対象外",OR(I210&lt;&gt;"対象外",J210&lt;&gt;"n/a")),"対象外ならR=対象外・S=n/a",IF(AND(G210="対象",OR(I210="対象外",J210="n/a")),"対象なのにR／Sが対象外・n/a",IF(AND(G210="対象",OR(I210="",J210="")),"R・Sを入力",IF(AND(ISNUMBER(J210),ISNUMBER(V210),ABS(N(J210)-N(V210))&gt;=1),"RとSの乖離（案分ならUに明記）",IF(AND(G210="対象",L210=""),"Uに制約・代替策・未検証を記載",IF(AND(G210="対象外",L210=""),"対象外の理由・承認者をUに記載",IF(OR(M210="",N210="",O210=""),"V～Xを入力",IF(P210&gt;0,"未記入あり（P列）","OK"))))))))))</f>
        <v>会社名コード未設定（D4）</v>
      </c>
      <c r="R210" s="11" t="str">
        <f aca="false">IF(INDEX(評価項目対応!$M$6:$M$236,$U210)="","",INDEX(評価項目対応!$M$6:$M$236,$U210))</f>
        <v/>
      </c>
      <c r="S210" s="11" t="str">
        <f aca="false">INDEX(評価項目対応!$H$6:$H$236,$U210)</f>
        <v>5.01の既存復元証跡を先に評価する。証跡不足または保護方式・保存先変更時のみデータ管理担当が追加復元試験を実施する。</v>
      </c>
      <c r="T210" s="11" t="str">
        <f aca="false">TRIM(IF(INDEX(評価項目対応!$K$6:$K$236,$U210)="","","試験ID: "&amp;INDEX(評価項目対応!$K$6:$K$236,$U210)&amp;"　")&amp;IF(INDEX(評価項目対応!$L$6:$L$236,$U210)="","","判断理由: "&amp;INDEX(評価項目対応!$L$6:$L$236,$U210)))</f>
        <v/>
      </c>
      <c r="U210" s="28" t="n">
        <f aca="false">MATCH($A210,評価項目対応!$A$6:$A$236,0)</f>
        <v>204</v>
      </c>
      <c r="V210" s="28" t="str">
        <f aca="false">IFERROR(VLOOKUP(I210,$X$6:$Y$11,2,FALSE()),"")</f>
        <v/>
      </c>
    </row>
    <row r="211" customFormat="false" ht="49.5" hidden="false" customHeight="true" outlineLevel="0" collapsed="false">
      <c r="A211" s="13" t="n">
        <v>207</v>
      </c>
      <c r="B211" s="13" t="n">
        <f aca="false">INDEX(評価項目対応!$B$6:$B$236,$U211)</f>
        <v>205</v>
      </c>
      <c r="C211" s="13" t="str">
        <f aca="false">INDEX(評価項目対応!$F$6:$F$236,$U211)</f>
        <v>5.07a</v>
      </c>
      <c r="D211" s="11" t="str">
        <f aca="false">INDEX(評価項目対応!$D$6:$D$236,$U211)</f>
        <v>データ管理</v>
      </c>
      <c r="E211" s="11" t="str">
        <f aca="false">INDEX(評価項目対応!$E$6:$E$236,$U211)</f>
        <v>ネットワークからデータが外部送信されている可能性の兆候を確認する。</v>
      </c>
      <c r="F211" s="13" t="str">
        <f aca="false">IF($D$4="","",$D$4)</f>
        <v/>
      </c>
      <c r="G211" s="13" t="str">
        <f aca="false">IFERROR(IF(INDEX(評価項目対応!$I$6:$I$236,$U211)="対象","対象",IF(INDEX(評価項目対応!$I$6:$I$236,$U211)="対象外（承認済）","対象外",IF(INDEX(評価項目対応!$I$6:$I$236,$U211)="未確定","n/a",""))),"")</f>
        <v>n/a</v>
      </c>
      <c r="H211" s="25" t="str">
        <f aca="false">IF(ISBLANK(J211),"",IF(J211=5,"Yes",IF(J211=4,"Yes","No")))</f>
        <v/>
      </c>
      <c r="I211" s="18"/>
      <c r="J211" s="26"/>
      <c r="K211" s="18"/>
      <c r="L211" s="18"/>
      <c r="M211" s="11" t="str">
        <f aca="false">IF(INDEX(評価項目対応!$J$6:$J$236,$U211)="","",INDEX(評価項目対応!$J$6:$J$236,$U211))</f>
        <v/>
      </c>
      <c r="N211" s="11" t="str">
        <f aca="false">IF(INDEX(評価項目対応!$N$6:$N$236,$U211)="","",INDEX(評価項目対応!$N$6:$N$236,$U211))</f>
        <v/>
      </c>
      <c r="O211" s="11" t="str">
        <f aca="false">IF(INDEX(評価項目対応!$O$6:$O$236,$U211)="","",INDEX(評価項目対応!$O$6:$O$236,$U211))</f>
        <v/>
      </c>
      <c r="P211" s="27" t="n">
        <f aca="false">COUNTIF(F211:G211,"")+COUNTIF(I211:O211,"")-IF(AND(G211="対象外",K211=""),1,0)</f>
        <v>8</v>
      </c>
      <c r="Q211" s="11" t="str">
        <f aca="false">IF(F211="","会社名コード未設定（D4）",IF(OR(G211="",G211="n/a"),"適用性を確定（評価項目対応I列）",IF(AND(G211="対象外",OR(I211&lt;&gt;"対象外",J211&lt;&gt;"n/a")),"対象外ならR=対象外・S=n/a",IF(AND(G211="対象",OR(I211="対象外",J211="n/a")),"対象なのにR／Sが対象外・n/a",IF(AND(G211="対象",OR(I211="",J211="")),"R・Sを入力",IF(AND(ISNUMBER(J211),ISNUMBER(V211),ABS(N(J211)-N(V211))&gt;=1),"RとSの乖離（案分ならUに明記）",IF(AND(G211="対象",L211=""),"Uに制約・代替策・未検証を記載",IF(AND(G211="対象外",L211=""),"対象外の理由・承認者をUに記載",IF(OR(M211="",N211="",O211=""),"V～Xを入力",IF(P211&gt;0,"未記入あり（P列）","OK"))))))))))</f>
        <v>会社名コード未設定（D4）</v>
      </c>
      <c r="R211" s="11" t="str">
        <f aca="false">IF(INDEX(評価項目対応!$M$6:$M$236,$U211)="","",INDEX(評価項目対応!$M$6:$M$236,$U211))</f>
        <v/>
      </c>
      <c r="S211" s="11" t="str">
        <f aca="false">INDEX(評価項目対応!$H$6:$H$236,$U211)</f>
        <v>既存IR手順・演習記録の該当箇所とChromeOS／クラウドの役割を確認する。新規の全社演習は設けず、不足は責任者へ課題化する。</v>
      </c>
      <c r="T211" s="11" t="str">
        <f aca="false">TRIM(IF(INDEX(評価項目対応!$K$6:$K$236,$U211)="","","試験ID: "&amp;INDEX(評価項目対応!$K$6:$K$236,$U211)&amp;"　")&amp;IF(INDEX(評価項目対応!$L$6:$L$236,$U211)="","","判断理由: "&amp;INDEX(評価項目対応!$L$6:$L$236,$U211)))</f>
        <v/>
      </c>
      <c r="U211" s="28" t="n">
        <f aca="false">MATCH($A211,評価項目対応!$A$6:$A$236,0)</f>
        <v>205</v>
      </c>
      <c r="V211" s="28" t="str">
        <f aca="false">IFERROR(VLOOKUP(I211,$X$6:$Y$11,2,FALSE()),"")</f>
        <v/>
      </c>
    </row>
    <row r="212" customFormat="false" ht="63.75" hidden="false" customHeight="true" outlineLevel="0" collapsed="false">
      <c r="A212" s="13" t="n">
        <v>208</v>
      </c>
      <c r="B212" s="13" t="n">
        <f aca="false">INDEX(評価項目対応!$B$6:$B$236,$U212)</f>
        <v>211</v>
      </c>
      <c r="C212" s="13" t="str">
        <f aca="false">INDEX(評価項目対応!$F$6:$F$236,$U212)</f>
        <v>5.08</v>
      </c>
      <c r="D212" s="11" t="str">
        <f aca="false">INDEX(評価項目対応!$D$6:$D$236,$U212)</f>
        <v>データ管理</v>
      </c>
      <c r="E212" s="11" t="str">
        <f aca="false">INDEX(評価項目対応!$E$6:$E$236,$U212)</f>
        <v>インシデントがデータ侵害につながった場合は、サイバーインシデント対
応および通信計画に概説されている通知要件に従う。</v>
      </c>
      <c r="F212" s="13" t="str">
        <f aca="false">IF($D$4="","",$D$4)</f>
        <v/>
      </c>
      <c r="G212" s="13" t="str">
        <f aca="false">IFERROR(IF(INDEX(評価項目対応!$I$6:$I$236,$U212)="対象","対象",IF(INDEX(評価項目対応!$I$6:$I$236,$U212)="対象外（承認済）","対象外",IF(INDEX(評価項目対応!$I$6:$I$236,$U212)="未確定","n/a",""))),"")</f>
        <v>n/a</v>
      </c>
      <c r="H212" s="25" t="str">
        <f aca="false">IF(ISBLANK(J212),"",IF(J212=5,"Yes",IF(J212=4,"Yes","No")))</f>
        <v/>
      </c>
      <c r="I212" s="18"/>
      <c r="J212" s="26"/>
      <c r="K212" s="18"/>
      <c r="L212" s="18"/>
      <c r="M212" s="11" t="str">
        <f aca="false">IF(INDEX(評価項目対応!$J$6:$J$236,$U212)="","",INDEX(評価項目対応!$J$6:$J$236,$U212))</f>
        <v/>
      </c>
      <c r="N212" s="11" t="str">
        <f aca="false">IF(INDEX(評価項目対応!$N$6:$N$236,$U212)="","",INDEX(評価項目対応!$N$6:$N$236,$U212))</f>
        <v/>
      </c>
      <c r="O212" s="11" t="str">
        <f aca="false">IF(INDEX(評価項目対応!$O$6:$O$236,$U212)="","",INDEX(評価項目対応!$O$6:$O$236,$U212))</f>
        <v/>
      </c>
      <c r="P212" s="27" t="n">
        <f aca="false">COUNTIF(F212:G212,"")+COUNTIF(I212:O212,"")-IF(AND(G212="対象外",K212=""),1,0)</f>
        <v>8</v>
      </c>
      <c r="Q212" s="11" t="str">
        <f aca="false">IF(F212="","会社名コード未設定（D4）",IF(OR(G212="",G212="n/a"),"適用性を確定（評価項目対応I列）",IF(AND(G212="対象外",OR(I212&lt;&gt;"対象外",J212&lt;&gt;"n/a")),"対象外ならR=対象外・S=n/a",IF(AND(G212="対象",OR(I212="対象外",J212="n/a")),"対象なのにR／Sが対象外・n/a",IF(AND(G212="対象",OR(I212="",J212="")),"R・Sを入力",IF(AND(ISNUMBER(J212),ISNUMBER(V212),ABS(N(J212)-N(V212))&gt;=1),"RとSの乖離（案分ならUに明記）",IF(AND(G212="対象",L212=""),"Uに制約・代替策・未検証を記載",IF(AND(G212="対象外",L212=""),"対象外の理由・承認者をUに記載",IF(OR(M212="",N212="",O212=""),"V～Xを入力",IF(P212&gt;0,"未記入あり（P列）","OK"))))))))))</f>
        <v>会社名コード未設定（D4）</v>
      </c>
      <c r="R212" s="11" t="str">
        <f aca="false">IF(INDEX(評価項目対応!$M$6:$M$236,$U212)="","",INDEX(評価項目対応!$M$6:$M$236,$U212))</f>
        <v/>
      </c>
      <c r="S212" s="11" t="str">
        <f aca="false">INDEX(評価項目対応!$H$6:$H$236,$U212)</f>
        <v>社内の教育・IR・報告・承認・定期改善の規程と実績を確認する。未整備は課題化し適用除外しない。</v>
      </c>
      <c r="T212" s="11" t="str">
        <f aca="false">TRIM(IF(INDEX(評価項目対応!$K$6:$K$236,$U212)="","","試験ID: "&amp;INDEX(評価項目対応!$K$6:$K$236,$U212)&amp;"　")&amp;IF(INDEX(評価項目対応!$L$6:$L$236,$U212)="","","判断理由: "&amp;INDEX(評価項目対応!$L$6:$L$236,$U212)))</f>
        <v/>
      </c>
      <c r="U212" s="28" t="n">
        <f aca="false">MATCH($A212,評価項目対応!$A$6:$A$236,0)</f>
        <v>206</v>
      </c>
      <c r="V212" s="28" t="str">
        <f aca="false">IFERROR(VLOOKUP(I212,$X$6:$Y$11,2,FALSE()),"")</f>
        <v/>
      </c>
    </row>
    <row r="213" customFormat="false" ht="49.5" hidden="false" customHeight="true" outlineLevel="0" collapsed="false">
      <c r="A213" s="13" t="n">
        <v>209</v>
      </c>
      <c r="B213" s="13" t="n">
        <f aca="false">INDEX(評価項目対応!$B$6:$B$236,$U213)</f>
        <v>214</v>
      </c>
      <c r="C213" s="13" t="str">
        <f aca="false">INDEX(評価項目対応!$F$6:$F$236,$U213)</f>
        <v>5.07a</v>
      </c>
      <c r="D213" s="11" t="str">
        <f aca="false">INDEX(評価項目対応!$D$6:$D$236,$U213)</f>
        <v>デクリプタ入手</v>
      </c>
      <c r="E213" s="11" t="str">
        <f aca="false">INDEX(評価項目対応!$E$6:$E$236,$U213)</f>
        <v>利用可能なデクリプタについて連邦法執行機関に相談する。</v>
      </c>
      <c r="F213" s="13" t="str">
        <f aca="false">IF($D$4="","",$D$4)</f>
        <v/>
      </c>
      <c r="G213" s="13" t="str">
        <f aca="false">IFERROR(IF(INDEX(評価項目対応!$I$6:$I$236,$U213)="対象","対象",IF(INDEX(評価項目対応!$I$6:$I$236,$U213)="対象外（承認済）","対象外",IF(INDEX(評価項目対応!$I$6:$I$236,$U213)="未確定","n/a",""))),"")</f>
        <v>n/a</v>
      </c>
      <c r="H213" s="25" t="str">
        <f aca="false">IF(ISBLANK(J213),"",IF(J213=5,"Yes",IF(J213=4,"Yes","No")))</f>
        <v/>
      </c>
      <c r="I213" s="18"/>
      <c r="J213" s="26"/>
      <c r="K213" s="18"/>
      <c r="L213" s="18"/>
      <c r="M213" s="11" t="str">
        <f aca="false">IF(INDEX(評価項目対応!$J$6:$J$236,$U213)="","",INDEX(評価項目対応!$J$6:$J$236,$U213))</f>
        <v/>
      </c>
      <c r="N213" s="11" t="str">
        <f aca="false">IF(INDEX(評価項目対応!$N$6:$N$236,$U213)="","",INDEX(評価項目対応!$N$6:$N$236,$U213))</f>
        <v/>
      </c>
      <c r="O213" s="11" t="str">
        <f aca="false">IF(INDEX(評価項目対応!$O$6:$O$236,$U213)="","",INDEX(評価項目対応!$O$6:$O$236,$U213))</f>
        <v/>
      </c>
      <c r="P213" s="27" t="n">
        <f aca="false">COUNTIF(F213:G213,"")+COUNTIF(I213:O213,"")-IF(AND(G213="対象外",K213=""),1,0)</f>
        <v>8</v>
      </c>
      <c r="Q213" s="11" t="str">
        <f aca="false">IF(F213="","会社名コード未設定（D4）",IF(OR(G213="",G213="n/a"),"適用性を確定（評価項目対応I列）",IF(AND(G213="対象外",OR(I213&lt;&gt;"対象外",J213&lt;&gt;"n/a")),"対象外ならR=対象外・S=n/a",IF(AND(G213="対象",OR(I213="対象外",J213="n/a")),"対象なのにR／Sが対象外・n/a",IF(AND(G213="対象",OR(I213="",J213="")),"R・Sを入力",IF(AND(ISNUMBER(J213),ISNUMBER(V213),ABS(N(J213)-N(V213))&gt;=1),"RとSの乖離（案分ならUに明記）",IF(AND(G213="対象",L213=""),"Uに制約・代替策・未検証を記載",IF(AND(G213="対象外",L213=""),"対象外の理由・承認者をUに記載",IF(OR(M213="",N213="",O213=""),"V～Xを入力",IF(P213&gt;0,"未記入あり（P列）","OK"))))))))))</f>
        <v>会社名コード未設定（D4）</v>
      </c>
      <c r="R213" s="11" t="str">
        <f aca="false">IF(INDEX(評価項目対応!$M$6:$M$236,$U213)="","",INDEX(評価項目対応!$M$6:$M$236,$U213))</f>
        <v/>
      </c>
      <c r="S213" s="11" t="str">
        <f aca="false">INDEX(評価項目対応!$H$6:$H$236,$U213)</f>
        <v>既存IR手順・演習記録の該当箇所とChromeOS／クラウドの役割を確認する。新規の全社演習は設けず、不足は責任者へ課題化する。</v>
      </c>
      <c r="T213" s="11" t="str">
        <f aca="false">TRIM(IF(INDEX(評価項目対応!$K$6:$K$236,$U213)="","","試験ID: "&amp;INDEX(評価項目対応!$K$6:$K$236,$U213)&amp;"　")&amp;IF(INDEX(評価項目対応!$L$6:$L$236,$U213)="","","判断理由: "&amp;INDEX(評価項目対応!$L$6:$L$236,$U213)))</f>
        <v/>
      </c>
      <c r="U213" s="28" t="n">
        <f aca="false">MATCH($A213,評価項目対応!$A$6:$A$236,0)</f>
        <v>207</v>
      </c>
      <c r="V213" s="28" t="str">
        <f aca="false">IFERROR(VLOOKUP(I213,$X$6:$Y$11,2,FALSE()),"")</f>
        <v/>
      </c>
    </row>
    <row r="214" customFormat="false" ht="105.75" hidden="false" customHeight="true" outlineLevel="0" collapsed="false">
      <c r="A214" s="13" t="n">
        <v>210</v>
      </c>
      <c r="B214" s="13" t="n">
        <f aca="false">INDEX(評価項目対応!$B$6:$B$236,$U214)</f>
        <v>181</v>
      </c>
      <c r="C214" s="13" t="str">
        <f aca="false">INDEX(評価項目対応!$F$6:$F$236,$U214)</f>
        <v>5.07a</v>
      </c>
      <c r="D214" s="11" t="str">
        <f aca="false">INDEX(評価項目対応!$D$6:$D$236,$U214)</f>
        <v>ネットワーク管理</v>
      </c>
      <c r="E214" s="11" t="str">
        <f aca="false">INDEX(評価項目対応!$E$6:$E$236,$U214)</f>
        <v>複数のシステムまたはサブネットが影響を受けている可能性がある場合は
、スイッチレベルでネットワークをオフラインにする。
（インシデント中に個々のシステムを切断することは現実的ではない場合
がある。）</v>
      </c>
      <c r="F214" s="13" t="str">
        <f aca="false">IF($D$4="","",$D$4)</f>
        <v/>
      </c>
      <c r="G214" s="13" t="str">
        <f aca="false">IFERROR(IF(INDEX(評価項目対応!$I$6:$I$236,$U214)="対象","対象",IF(INDEX(評価項目対応!$I$6:$I$236,$U214)="対象外（承認済）","対象外",IF(INDEX(評価項目対応!$I$6:$I$236,$U214)="未確定","n/a",""))),"")</f>
        <v>n/a</v>
      </c>
      <c r="H214" s="25" t="str">
        <f aca="false">IF(ISBLANK(J214),"",IF(J214=5,"Yes",IF(J214=4,"Yes","No")))</f>
        <v/>
      </c>
      <c r="I214" s="18"/>
      <c r="J214" s="26"/>
      <c r="K214" s="18"/>
      <c r="L214" s="18"/>
      <c r="M214" s="11" t="str">
        <f aca="false">IF(INDEX(評価項目対応!$J$6:$J$236,$U214)="","",INDEX(評価項目対応!$J$6:$J$236,$U214))</f>
        <v/>
      </c>
      <c r="N214" s="11" t="str">
        <f aca="false">IF(INDEX(評価項目対応!$N$6:$N$236,$U214)="","",INDEX(評価項目対応!$N$6:$N$236,$U214))</f>
        <v/>
      </c>
      <c r="O214" s="11" t="str">
        <f aca="false">IF(INDEX(評価項目対応!$O$6:$O$236,$U214)="","",INDEX(評価項目対応!$O$6:$O$236,$U214))</f>
        <v/>
      </c>
      <c r="P214" s="27" t="n">
        <f aca="false">COUNTIF(F214:G214,"")+COUNTIF(I214:O214,"")-IF(AND(G214="対象外",K214=""),1,0)</f>
        <v>8</v>
      </c>
      <c r="Q214" s="11" t="str">
        <f aca="false">IF(F214="","会社名コード未設定（D4）",IF(OR(G214="",G214="n/a"),"適用性を確定（評価項目対応I列）",IF(AND(G214="対象外",OR(I214&lt;&gt;"対象外",J214&lt;&gt;"n/a")),"対象外ならR=対象外・S=n/a",IF(AND(G214="対象",OR(I214="対象外",J214="n/a")),"対象なのにR／Sが対象外・n/a",IF(AND(G214="対象",OR(I214="",J214="")),"R・Sを入力",IF(AND(ISNUMBER(J214),ISNUMBER(V214),ABS(N(J214)-N(V214))&gt;=1),"RとSの乖離（案分ならUに明記）",IF(AND(G214="対象",L214=""),"Uに制約・代替策・未検証を記載",IF(AND(G214="対象外",L214=""),"対象外の理由・承認者をUに記載",IF(OR(M214="",N214="",O214=""),"V～Xを入力",IF(P214&gt;0,"未記入あり（P列）","OK"))))))))))</f>
        <v>会社名コード未設定（D4）</v>
      </c>
      <c r="R214" s="11" t="str">
        <f aca="false">IF(INDEX(評価項目対応!$M$6:$M$236,$U214)="","",INDEX(評価項目対応!$M$6:$M$236,$U214))</f>
        <v/>
      </c>
      <c r="S214" s="11" t="str">
        <f aca="false">INDEX(評価項目対応!$H$6:$H$236,$U214)</f>
        <v>既存IR手順・演習記録の該当箇所とChromeOS／クラウドの役割を確認する。新規の全社演習は設けず、不足は責任者へ課題化する。</v>
      </c>
      <c r="T214" s="11" t="str">
        <f aca="false">TRIM(IF(INDEX(評価項目対応!$K$6:$K$236,$U214)="","","試験ID: "&amp;INDEX(評価項目対応!$K$6:$K$236,$U214)&amp;"　")&amp;IF(INDEX(評価項目対応!$L$6:$L$236,$U214)="","","判断理由: "&amp;INDEX(評価項目対応!$L$6:$L$236,$U214)))</f>
        <v/>
      </c>
      <c r="U214" s="28" t="n">
        <f aca="false">MATCH($A214,評価項目対応!$A$6:$A$236,0)</f>
        <v>208</v>
      </c>
      <c r="V214" s="28" t="str">
        <f aca="false">IFERROR(VLOOKUP(I214,$X$6:$Y$11,2,FALSE()),"")</f>
        <v/>
      </c>
    </row>
    <row r="215" customFormat="false" ht="105.75" hidden="false" customHeight="true" outlineLevel="0" collapsed="false">
      <c r="A215" s="13" t="n">
        <v>211</v>
      </c>
      <c r="B215" s="13" t="n">
        <f aca="false">INDEX(評価項目対応!$B$6:$B$236,$U215)</f>
        <v>183</v>
      </c>
      <c r="C215" s="13" t="str">
        <f aca="false">INDEX(評価項目対応!$F$6:$F$236,$U215)</f>
        <v>5.07a</v>
      </c>
      <c r="D215" s="11" t="str">
        <f aca="false">INDEX(評価項目対応!$D$6:$D$236,$U215)</f>
        <v>ネットワーク管理</v>
      </c>
      <c r="E215" s="11" t="str">
        <f aca="false">INDEX(評価項目対応!$E$6:$E$236,$U215)</f>
        <v>ネットワークを一時的にオフラインにすることがすぐにできない場合は、
ネットワークケーブル（イーサネットなど）を見つけて、影響を受けたデ
バイスをネットワークから抜くか、Wi-Fiから削除して、感染を封じ込め
る。</v>
      </c>
      <c r="F215" s="13" t="str">
        <f aca="false">IF($D$4="","",$D$4)</f>
        <v/>
      </c>
      <c r="G215" s="13" t="str">
        <f aca="false">IFERROR(IF(INDEX(評価項目対応!$I$6:$I$236,$U215)="対象","対象",IF(INDEX(評価項目対応!$I$6:$I$236,$U215)="対象外（承認済）","対象外",IF(INDEX(評価項目対応!$I$6:$I$236,$U215)="未確定","n/a",""))),"")</f>
        <v>n/a</v>
      </c>
      <c r="H215" s="25" t="str">
        <f aca="false">IF(ISBLANK(J215),"",IF(J215=5,"Yes",IF(J215=4,"Yes","No")))</f>
        <v/>
      </c>
      <c r="I215" s="18"/>
      <c r="J215" s="26"/>
      <c r="K215" s="18"/>
      <c r="L215" s="18"/>
      <c r="M215" s="11" t="str">
        <f aca="false">IF(INDEX(評価項目対応!$J$6:$J$236,$U215)="","",INDEX(評価項目対応!$J$6:$J$236,$U215))</f>
        <v/>
      </c>
      <c r="N215" s="11" t="str">
        <f aca="false">IF(INDEX(評価項目対応!$N$6:$N$236,$U215)="","",INDEX(評価項目対応!$N$6:$N$236,$U215))</f>
        <v/>
      </c>
      <c r="O215" s="11" t="str">
        <f aca="false">IF(INDEX(評価項目対応!$O$6:$O$236,$U215)="","",INDEX(評価項目対応!$O$6:$O$236,$U215))</f>
        <v/>
      </c>
      <c r="P215" s="27" t="n">
        <f aca="false">COUNTIF(F215:G215,"")+COUNTIF(I215:O215,"")-IF(AND(G215="対象外",K215=""),1,0)</f>
        <v>8</v>
      </c>
      <c r="Q215" s="11" t="str">
        <f aca="false">IF(F215="","会社名コード未設定（D4）",IF(OR(G215="",G215="n/a"),"適用性を確定（評価項目対応I列）",IF(AND(G215="対象外",OR(I215&lt;&gt;"対象外",J215&lt;&gt;"n/a")),"対象外ならR=対象外・S=n/a",IF(AND(G215="対象",OR(I215="対象外",J215="n/a")),"対象なのにR／Sが対象外・n/a",IF(AND(G215="対象",OR(I215="",J215="")),"R・Sを入力",IF(AND(ISNUMBER(J215),ISNUMBER(V215),ABS(N(J215)-N(V215))&gt;=1),"RとSの乖離（案分ならUに明記）",IF(AND(G215="対象",L215=""),"Uに制約・代替策・未検証を記載",IF(AND(G215="対象外",L215=""),"対象外の理由・承認者をUに記載",IF(OR(M215="",N215="",O215=""),"V～Xを入力",IF(P215&gt;0,"未記入あり（P列）","OK"))))))))))</f>
        <v>会社名コード未設定（D4）</v>
      </c>
      <c r="R215" s="11" t="str">
        <f aca="false">IF(INDEX(評価項目対応!$M$6:$M$236,$U215)="","",INDEX(評価項目対応!$M$6:$M$236,$U215))</f>
        <v>5.07b</v>
      </c>
      <c r="S215" s="11" t="str">
        <f aca="false">INDEX(評価項目対応!$H$6:$H$236,$U215)</f>
        <v>既存IR手順・演習記録の該当箇所とChromeOS／クラウドの役割を確認する。新規の全社演習は設けず、不足は責任者へ課題化する。 Chromebook固有の手順（端末無効化・アカウント停止・証跡保全）は5.07b（11/4）で確認する。</v>
      </c>
      <c r="T215" s="11" t="str">
        <f aca="false">TRIM(IF(INDEX(評価項目対応!$K$6:$K$236,$U215)="","","試験ID: "&amp;INDEX(評価項目対応!$K$6:$K$236,$U215)&amp;"　")&amp;IF(INDEX(評価項目対応!$L$6:$L$236,$U215)="","","判断理由: "&amp;INDEX(評価項目対応!$L$6:$L$236,$U215)))</f>
        <v/>
      </c>
      <c r="U215" s="28" t="n">
        <f aca="false">MATCH($A215,評価項目対応!$A$6:$A$236,0)</f>
        <v>209</v>
      </c>
      <c r="V215" s="28" t="str">
        <f aca="false">IFERROR(VLOOKUP(I215,$X$6:$Y$11,2,FALSE()),"")</f>
        <v/>
      </c>
    </row>
    <row r="216" customFormat="false" ht="105.75" hidden="false" customHeight="true" outlineLevel="0" collapsed="false">
      <c r="A216" s="13" t="n">
        <v>212</v>
      </c>
      <c r="B216" s="13" t="n">
        <f aca="false">INDEX(評価項目対応!$B$6:$B$236,$U216)</f>
        <v>225</v>
      </c>
      <c r="C216" s="13" t="str">
        <f aca="false">INDEX(評価項目対応!$F$6:$F$236,$U216)</f>
        <v>5.07a</v>
      </c>
      <c r="D216" s="11" t="str">
        <f aca="false">INDEX(評価項目対応!$D$6:$D$236,$U216)</f>
        <v>パケットキャプチャ</v>
      </c>
      <c r="E216" s="11" t="str">
        <f aca="false">INDEX(評価項目対応!$E$6:$E$236,$U216)</f>
        <v>影響を受けたサーバー上でWiresharkなどのパケットキャプチャソフトウ
ェアを実行し、アクティブにファイルを書き込んだり名前を変更したりし
ているIPアドレスを特定するフィルター（例：smb2.filename contains c
ryptxxx）を使用する。</v>
      </c>
      <c r="F216" s="13" t="str">
        <f aca="false">IF($D$4="","",$D$4)</f>
        <v/>
      </c>
      <c r="G216" s="13" t="str">
        <f aca="false">IFERROR(IF(INDEX(評価項目対応!$I$6:$I$236,$U216)="対象","対象",IF(INDEX(評価項目対応!$I$6:$I$236,$U216)="対象外（承認済）","対象外",IF(INDEX(評価項目対応!$I$6:$I$236,$U216)="未確定","n/a",""))),"")</f>
        <v>n/a</v>
      </c>
      <c r="H216" s="25" t="str">
        <f aca="false">IF(ISBLANK(J216),"",IF(J216=5,"Yes",IF(J216=4,"Yes","No")))</f>
        <v/>
      </c>
      <c r="I216" s="18"/>
      <c r="J216" s="26"/>
      <c r="K216" s="18"/>
      <c r="L216" s="18"/>
      <c r="M216" s="11" t="str">
        <f aca="false">IF(INDEX(評価項目対応!$J$6:$J$236,$U216)="","",INDEX(評価項目対応!$J$6:$J$236,$U216))</f>
        <v/>
      </c>
      <c r="N216" s="11" t="str">
        <f aca="false">IF(INDEX(評価項目対応!$N$6:$N$236,$U216)="","",INDEX(評価項目対応!$N$6:$N$236,$U216))</f>
        <v/>
      </c>
      <c r="O216" s="11" t="str">
        <f aca="false">IF(INDEX(評価項目対応!$O$6:$O$236,$U216)="","",INDEX(評価項目対応!$O$6:$O$236,$U216))</f>
        <v/>
      </c>
      <c r="P216" s="27" t="n">
        <f aca="false">COUNTIF(F216:G216,"")+COUNTIF(I216:O216,"")-IF(AND(G216="対象外",K216=""),1,0)</f>
        <v>8</v>
      </c>
      <c r="Q216" s="11" t="str">
        <f aca="false">IF(F216="","会社名コード未設定（D4）",IF(OR(G216="",G216="n/a"),"適用性を確定（評価項目対応I列）",IF(AND(G216="対象外",OR(I216&lt;&gt;"対象外",J216&lt;&gt;"n/a")),"対象外ならR=対象外・S=n/a",IF(AND(G216="対象",OR(I216="対象外",J216="n/a")),"対象なのにR／Sが対象外・n/a",IF(AND(G216="対象",OR(I216="",J216="")),"R・Sを入力",IF(AND(ISNUMBER(J216),ISNUMBER(V216),ABS(N(J216)-N(V216))&gt;=1),"RとSの乖離（案分ならUに明記）",IF(AND(G216="対象",L216=""),"Uに制約・代替策・未検証を記載",IF(AND(G216="対象外",L216=""),"対象外の理由・承認者をUに記載",IF(OR(M216="",N216="",O216=""),"V～Xを入力",IF(P216&gt;0,"未記入あり（P列）","OK"))))))))))</f>
        <v>会社名コード未設定（D4）</v>
      </c>
      <c r="R216" s="11" t="str">
        <f aca="false">IF(INDEX(評価項目対応!$M$6:$M$236,$U216)="","",INDEX(評価項目対応!$M$6:$M$236,$U216))</f>
        <v/>
      </c>
      <c r="S216" s="11" t="str">
        <f aca="false">INDEX(評価項目対応!$H$6:$H$236,$U216)</f>
        <v>既存IR手順・演習記録の該当箇所とChromeOS／クラウドの役割を確認する。新規の全社演習は設けず、不足は責任者へ課題化する。</v>
      </c>
      <c r="T216" s="11" t="str">
        <f aca="false">TRIM(IF(INDEX(評価項目対応!$K$6:$K$236,$U216)="","","試験ID: "&amp;INDEX(評価項目対応!$K$6:$K$236,$U216)&amp;"　")&amp;IF(INDEX(評価項目対応!$L$6:$L$236,$U216)="","","判断理由: "&amp;INDEX(評価項目対応!$L$6:$L$236,$U216)))</f>
        <v/>
      </c>
      <c r="U216" s="28" t="n">
        <f aca="false">MATCH($A216,評価項目対応!$A$6:$A$236,0)</f>
        <v>210</v>
      </c>
      <c r="V216" s="28" t="str">
        <f aca="false">IFERROR(VLOOKUP(I216,$X$6:$Y$11,2,FALSE()),"")</f>
        <v/>
      </c>
    </row>
    <row r="217" customFormat="false" ht="78" hidden="false" customHeight="true" outlineLevel="0" collapsed="false">
      <c r="A217" s="13" t="n">
        <v>213</v>
      </c>
      <c r="B217" s="13" t="n">
        <f aca="false">INDEX(評価項目対応!$B$6:$B$236,$U217)</f>
        <v>228</v>
      </c>
      <c r="C217" s="13" t="str">
        <f aca="false">INDEX(評価項目対応!$F$6:$F$236,$U217)</f>
        <v>5.07a</v>
      </c>
      <c r="D217" s="11" t="str">
        <f aca="false">INDEX(評価項目対応!$D$6:$D$236,$U217)</f>
        <v>パスワード管理</v>
      </c>
      <c r="E217" s="11" t="str">
        <f aca="false">INDEX(評価項目対応!$E$6:$E$236,$U217)</f>
        <v>影響を受けたすべてのシステムのパスワードをリセットし、関連する脆弱
性とセキュリティまたは可視性のギャップに対処する。</v>
      </c>
      <c r="F217" s="13" t="str">
        <f aca="false">IF($D$4="","",$D$4)</f>
        <v/>
      </c>
      <c r="G217" s="13" t="str">
        <f aca="false">IFERROR(IF(INDEX(評価項目対応!$I$6:$I$236,$U217)="対象","対象",IF(INDEX(評価項目対応!$I$6:$I$236,$U217)="対象外（承認済）","対象外",IF(INDEX(評価項目対応!$I$6:$I$236,$U217)="未確定","n/a",""))),"")</f>
        <v>n/a</v>
      </c>
      <c r="H217" s="25" t="str">
        <f aca="false">IF(ISBLANK(J217),"",IF(J217=5,"Yes",IF(J217=4,"Yes","No")))</f>
        <v/>
      </c>
      <c r="I217" s="18"/>
      <c r="J217" s="26"/>
      <c r="K217" s="18"/>
      <c r="L217" s="18"/>
      <c r="M217" s="11" t="str">
        <f aca="false">IF(INDEX(評価項目対応!$J$6:$J$236,$U217)="","",INDEX(評価項目対応!$J$6:$J$236,$U217))</f>
        <v/>
      </c>
      <c r="N217" s="11" t="str">
        <f aca="false">IF(INDEX(評価項目対応!$N$6:$N$236,$U217)="","",INDEX(評価項目対応!$N$6:$N$236,$U217))</f>
        <v/>
      </c>
      <c r="O217" s="11" t="str">
        <f aca="false">IF(INDEX(評価項目対応!$O$6:$O$236,$U217)="","",INDEX(評価項目対応!$O$6:$O$236,$U217))</f>
        <v/>
      </c>
      <c r="P217" s="27" t="n">
        <f aca="false">COUNTIF(F217:G217,"")+COUNTIF(I217:O217,"")-IF(AND(G217="対象外",K217=""),1,0)</f>
        <v>8</v>
      </c>
      <c r="Q217" s="11" t="str">
        <f aca="false">IF(F217="","会社名コード未設定（D4）",IF(OR(G217="",G217="n/a"),"適用性を確定（評価項目対応I列）",IF(AND(G217="対象外",OR(I217&lt;&gt;"対象外",J217&lt;&gt;"n/a")),"対象外ならR=対象外・S=n/a",IF(AND(G217="対象",OR(I217="対象外",J217="n/a")),"対象なのにR／Sが対象外・n/a",IF(AND(G217="対象",OR(I217="",J217="")),"R・Sを入力",IF(AND(ISNUMBER(J217),ISNUMBER(V217),ABS(N(J217)-N(V217))&gt;=1),"RとSの乖離（案分ならUに明記）",IF(AND(G217="対象",L217=""),"Uに制約・代替策・未検証を記載",IF(AND(G217="対象外",L217=""),"対象外の理由・承認者をUに記載",IF(OR(M217="",N217="",O217=""),"V～Xを入力",IF(P217&gt;0,"未記入あり（P列）","OK"))))))))))</f>
        <v>会社名コード未設定（D4）</v>
      </c>
      <c r="R217" s="11" t="str">
        <f aca="false">IF(INDEX(評価項目対応!$M$6:$M$236,$U217)="","",INDEX(評価項目対応!$M$6:$M$236,$U217))</f>
        <v>5.07b</v>
      </c>
      <c r="S217" s="11" t="str">
        <f aca="false">INDEX(評価項目対応!$H$6:$H$236,$U217)</f>
        <v>既存IR手順・演習記録の該当箇所とChromeOS／クラウドの役割を確認する。新規の全社演習は設けず、不足は責任者へ課題化する。 Chromebook固有の手順（端末無効化・アカウント停止・証跡保全）は5.07b（11/4）で確認する。</v>
      </c>
      <c r="T217" s="11" t="str">
        <f aca="false">TRIM(IF(INDEX(評価項目対応!$K$6:$K$236,$U217)="","","試験ID: "&amp;INDEX(評価項目対応!$K$6:$K$236,$U217)&amp;"　")&amp;IF(INDEX(評価項目対応!$L$6:$L$236,$U217)="","","判断理由: "&amp;INDEX(評価項目対応!$L$6:$L$236,$U217)))</f>
        <v/>
      </c>
      <c r="U217" s="28" t="n">
        <f aca="false">MATCH($A217,評価項目対応!$A$6:$A$236,0)</f>
        <v>211</v>
      </c>
      <c r="V217" s="28" t="str">
        <f aca="false">IFERROR(VLOOKUP(I217,$X$6:$Y$11,2,FALSE()),"")</f>
        <v/>
      </c>
    </row>
    <row r="218" customFormat="false" ht="78" hidden="false" customHeight="true" outlineLevel="0" collapsed="false">
      <c r="A218" s="13" t="n">
        <v>214</v>
      </c>
      <c r="B218" s="13" t="n">
        <f aca="false">INDEX(評価項目対応!$B$6:$B$236,$U218)</f>
        <v>184</v>
      </c>
      <c r="C218" s="13" t="str">
        <f aca="false">INDEX(評価項目対応!$F$6:$F$236,$U218)</f>
        <v>5.07a</v>
      </c>
      <c r="D218" s="11" t="str">
        <f aca="false">INDEX(評価項目対応!$D$6:$D$236,$U218)</f>
        <v>フォレンジック</v>
      </c>
      <c r="E218" s="11" t="str">
        <f aca="false">INDEX(評価項目対応!$E$6:$E$236,$U218)</f>
        <v>クラウドリソースの場合は、フォレンジック調査のために後で確認できる
ように、ボリュームのスナップショットを取得して時点のコピーを取得す
る。</v>
      </c>
      <c r="F218" s="13" t="str">
        <f aca="false">IF($D$4="","",$D$4)</f>
        <v/>
      </c>
      <c r="G218" s="13" t="str">
        <f aca="false">IFERROR(IF(INDEX(評価項目対応!$I$6:$I$236,$U218)="対象","対象",IF(INDEX(評価項目対応!$I$6:$I$236,$U218)="対象外（承認済）","対象外",IF(INDEX(評価項目対応!$I$6:$I$236,$U218)="未確定","n/a",""))),"")</f>
        <v>n/a</v>
      </c>
      <c r="H218" s="25" t="str">
        <f aca="false">IF(ISBLANK(J218),"",IF(J218=5,"Yes",IF(J218=4,"Yes","No")))</f>
        <v/>
      </c>
      <c r="I218" s="18"/>
      <c r="J218" s="26"/>
      <c r="K218" s="18"/>
      <c r="L218" s="18"/>
      <c r="M218" s="11" t="str">
        <f aca="false">IF(INDEX(評価項目対応!$J$6:$J$236,$U218)="","",INDEX(評価項目対応!$J$6:$J$236,$U218))</f>
        <v/>
      </c>
      <c r="N218" s="11" t="str">
        <f aca="false">IF(INDEX(評価項目対応!$N$6:$N$236,$U218)="","",INDEX(評価項目対応!$N$6:$N$236,$U218))</f>
        <v/>
      </c>
      <c r="O218" s="11" t="str">
        <f aca="false">IF(INDEX(評価項目対応!$O$6:$O$236,$U218)="","",INDEX(評価項目対応!$O$6:$O$236,$U218))</f>
        <v/>
      </c>
      <c r="P218" s="27" t="n">
        <f aca="false">COUNTIF(F218:G218,"")+COUNTIF(I218:O218,"")-IF(AND(G218="対象外",K218=""),1,0)</f>
        <v>8</v>
      </c>
      <c r="Q218" s="11" t="str">
        <f aca="false">IF(F218="","会社名コード未設定（D4）",IF(OR(G218="",G218="n/a"),"適用性を確定（評価項目対応I列）",IF(AND(G218="対象外",OR(I218&lt;&gt;"対象外",J218&lt;&gt;"n/a")),"対象外ならR=対象外・S=n/a",IF(AND(G218="対象",OR(I218="対象外",J218="n/a")),"対象なのにR／Sが対象外・n/a",IF(AND(G218="対象",OR(I218="",J218="")),"R・Sを入力",IF(AND(ISNUMBER(J218),ISNUMBER(V218),ABS(N(J218)-N(V218))&gt;=1),"RとSの乖離（案分ならUに明記）",IF(AND(G218="対象",L218=""),"Uに制約・代替策・未検証を記載",IF(AND(G218="対象外",L218=""),"対象外の理由・承認者をUに記載",IF(OR(M218="",N218="",O218=""),"V～Xを入力",IF(P218&gt;0,"未記入あり（P列）","OK"))))))))))</f>
        <v>会社名コード未設定（D4）</v>
      </c>
      <c r="R218" s="11" t="str">
        <f aca="false">IF(INDEX(評価項目対応!$M$6:$M$236,$U218)="","",INDEX(評価項目対応!$M$6:$M$236,$U218))</f>
        <v/>
      </c>
      <c r="S218" s="11" t="str">
        <f aca="false">INDEX(評価項目対応!$H$6:$H$236,$U218)</f>
        <v>既存IR手順・演習記録の該当箇所とChromeOS／クラウドの役割を確認する。新規の全社演習は設けず、不足は責任者へ課題化する。</v>
      </c>
      <c r="T218" s="11" t="str">
        <f aca="false">TRIM(IF(INDEX(評価項目対応!$K$6:$K$236,$U218)="","","試験ID: "&amp;INDEX(評価項目対応!$K$6:$K$236,$U218)&amp;"　")&amp;IF(INDEX(評価項目対応!$L$6:$L$236,$U218)="","","判断理由: "&amp;INDEX(評価項目対応!$L$6:$L$236,$U218)))</f>
        <v/>
      </c>
      <c r="U218" s="28" t="n">
        <f aca="false">MATCH($A218,評価項目対応!$A$6:$A$236,0)</f>
        <v>212</v>
      </c>
      <c r="V218" s="28" t="str">
        <f aca="false">IFERROR(VLOOKUP(I218,$X$6:$Y$11,2,FALSE()),"")</f>
        <v/>
      </c>
    </row>
    <row r="219" customFormat="false" ht="78" hidden="false" customHeight="true" outlineLevel="0" collapsed="false">
      <c r="A219" s="13" t="n">
        <v>215</v>
      </c>
      <c r="B219" s="13" t="n">
        <f aca="false">INDEX(評価項目対応!$B$6:$B$236,$U219)</f>
        <v>216</v>
      </c>
      <c r="C219" s="13" t="str">
        <f aca="false">INDEX(評価項目対応!$F$6:$F$236,$U219)</f>
        <v>5.07a</v>
      </c>
      <c r="D219" s="11" t="str">
        <f aca="false">INDEX(評価項目対応!$D$6:$D$236,$U219)</f>
        <v>ランサムウェア停止</v>
      </c>
      <c r="E219" s="11" t="str">
        <f aca="false">INDEX(評価項目対応!$E$6:$E$236,$U219)</f>
        <v>既知のランサムウェアバイナリの実行を停止または無効化する。</v>
      </c>
      <c r="F219" s="13" t="str">
        <f aca="false">IF($D$4="","",$D$4)</f>
        <v/>
      </c>
      <c r="G219" s="13" t="str">
        <f aca="false">IFERROR(IF(INDEX(評価項目対応!$I$6:$I$236,$U219)="対象","対象",IF(INDEX(評価項目対応!$I$6:$I$236,$U219)="対象外（承認済）","対象外",IF(INDEX(評価項目対応!$I$6:$I$236,$U219)="未確定","n/a",""))),"")</f>
        <v>n/a</v>
      </c>
      <c r="H219" s="25" t="str">
        <f aca="false">IF(ISBLANK(J219),"",IF(J219=5,"Yes",IF(J219=4,"Yes","No")))</f>
        <v/>
      </c>
      <c r="I219" s="18"/>
      <c r="J219" s="26"/>
      <c r="K219" s="18"/>
      <c r="L219" s="18"/>
      <c r="M219" s="11" t="str">
        <f aca="false">IF(INDEX(評価項目対応!$J$6:$J$236,$U219)="","",INDEX(評価項目対応!$J$6:$J$236,$U219))</f>
        <v/>
      </c>
      <c r="N219" s="11" t="str">
        <f aca="false">IF(INDEX(評価項目対応!$N$6:$N$236,$U219)="","",INDEX(評価項目対応!$N$6:$N$236,$U219))</f>
        <v/>
      </c>
      <c r="O219" s="11" t="str">
        <f aca="false">IF(INDEX(評価項目対応!$O$6:$O$236,$U219)="","",INDEX(評価項目対応!$O$6:$O$236,$U219))</f>
        <v/>
      </c>
      <c r="P219" s="27" t="n">
        <f aca="false">COUNTIF(F219:G219,"")+COUNTIF(I219:O219,"")-IF(AND(G219="対象外",K219=""),1,0)</f>
        <v>8</v>
      </c>
      <c r="Q219" s="11" t="str">
        <f aca="false">IF(F219="","会社名コード未設定（D4）",IF(OR(G219="",G219="n/a"),"適用性を確定（評価項目対応I列）",IF(AND(G219="対象外",OR(I219&lt;&gt;"対象外",J219&lt;&gt;"n/a")),"対象外ならR=対象外・S=n/a",IF(AND(G219="対象",OR(I219="対象外",J219="n/a")),"対象なのにR／Sが対象外・n/a",IF(AND(G219="対象",OR(I219="",J219="")),"R・Sを入力",IF(AND(ISNUMBER(J219),ISNUMBER(V219),ABS(N(J219)-N(V219))&gt;=1),"RとSの乖離（案分ならUに明記）",IF(AND(G219="対象",L219=""),"Uに制約・代替策・未検証を記載",IF(AND(G219="対象外",L219=""),"対象外の理由・承認者をUに記載",IF(OR(M219="",N219="",O219=""),"V～Xを入力",IF(P219&gt;0,"未記入あり（P列）","OK"))))))))))</f>
        <v>会社名コード未設定（D4）</v>
      </c>
      <c r="R219" s="11" t="str">
        <f aca="false">IF(INDEX(評価項目対応!$M$6:$M$236,$U219)="","",INDEX(評価項目対応!$M$6:$M$236,$U219))</f>
        <v>5.07b</v>
      </c>
      <c r="S219" s="11" t="str">
        <f aca="false">INDEX(評価項目対応!$H$6:$H$236,$U219)</f>
        <v>既存IR手順・演習記録の該当箇所とChromeOS／クラウドの役割を確認する。新規の全社演習は設けず、不足は責任者へ課題化する。 Chromebook固有の手順（端末無効化・アカウント停止・証跡保全）は5.07b（11/4）で確認する。</v>
      </c>
      <c r="T219" s="11" t="str">
        <f aca="false">TRIM(IF(INDEX(評価項目対応!$K$6:$K$236,$U219)="","","試験ID: "&amp;INDEX(評価項目対応!$K$6:$K$236,$U219)&amp;"　")&amp;IF(INDEX(評価項目対応!$L$6:$L$236,$U219)="","","判断理由: "&amp;INDEX(評価項目対応!$L$6:$L$236,$U219)))</f>
        <v/>
      </c>
      <c r="U219" s="28" t="n">
        <f aca="false">MATCH($A219,評価項目対応!$A$6:$A$236,0)</f>
        <v>213</v>
      </c>
      <c r="V219" s="28" t="str">
        <f aca="false">IFERROR(VLOOKUP(I219,$X$6:$Y$11,2,FALSE()),"")</f>
        <v/>
      </c>
    </row>
    <row r="220" customFormat="false" ht="78" hidden="false" customHeight="true" outlineLevel="0" collapsed="false">
      <c r="A220" s="13" t="n">
        <v>216</v>
      </c>
      <c r="B220" s="13" t="n">
        <f aca="false">INDEX(評価項目対応!$B$6:$B$236,$U220)</f>
        <v>219</v>
      </c>
      <c r="C220" s="13" t="str">
        <f aca="false">INDEX(評価項目対応!$F$6:$F$236,$U220)</f>
        <v>5.07a</v>
      </c>
      <c r="D220" s="11" t="str">
        <f aca="false">INDEX(評価項目対応!$D$6:$D$236,$U220)</f>
        <v>リモート環境管理</v>
      </c>
      <c r="E220" s="11" t="str">
        <f aca="false">INDEX(評価項目対応!$E$6:$E$236,$U220)</f>
        <v>仮想プライベートネットワーク、リモートアクセスサーバー、シングルサ
インオンリソース、およびクラウドベースまたはその他の公開向け資産を
無効にする。</v>
      </c>
      <c r="F220" s="13" t="str">
        <f aca="false">IF($D$4="","",$D$4)</f>
        <v/>
      </c>
      <c r="G220" s="13" t="str">
        <f aca="false">IFERROR(IF(INDEX(評価項目対応!$I$6:$I$236,$U220)="対象","対象",IF(INDEX(評価項目対応!$I$6:$I$236,$U220)="対象外（承認済）","対象外",IF(INDEX(評価項目対応!$I$6:$I$236,$U220)="未確定","n/a",""))),"")</f>
        <v>n/a</v>
      </c>
      <c r="H220" s="25" t="str">
        <f aca="false">IF(ISBLANK(J220),"",IF(J220=5,"Yes",IF(J220=4,"Yes","No")))</f>
        <v/>
      </c>
      <c r="I220" s="18"/>
      <c r="J220" s="26"/>
      <c r="K220" s="18"/>
      <c r="L220" s="18"/>
      <c r="M220" s="11" t="str">
        <f aca="false">IF(INDEX(評価項目対応!$J$6:$J$236,$U220)="","",INDEX(評価項目対応!$J$6:$J$236,$U220))</f>
        <v/>
      </c>
      <c r="N220" s="11" t="str">
        <f aca="false">IF(INDEX(評価項目対応!$N$6:$N$236,$U220)="","",INDEX(評価項目対応!$N$6:$N$236,$U220))</f>
        <v/>
      </c>
      <c r="O220" s="11" t="str">
        <f aca="false">IF(INDEX(評価項目対応!$O$6:$O$236,$U220)="","",INDEX(評価項目対応!$O$6:$O$236,$U220))</f>
        <v/>
      </c>
      <c r="P220" s="27" t="n">
        <f aca="false">COUNTIF(F220:G220,"")+COUNTIF(I220:O220,"")-IF(AND(G220="対象外",K220=""),1,0)</f>
        <v>8</v>
      </c>
      <c r="Q220" s="11" t="str">
        <f aca="false">IF(F220="","会社名コード未設定（D4）",IF(OR(G220="",G220="n/a"),"適用性を確定（評価項目対応I列）",IF(AND(G220="対象外",OR(I220&lt;&gt;"対象外",J220&lt;&gt;"n/a")),"対象外ならR=対象外・S=n/a",IF(AND(G220="対象",OR(I220="対象外",J220="n/a")),"対象なのにR／Sが対象外・n/a",IF(AND(G220="対象",OR(I220="",J220="")),"R・Sを入力",IF(AND(ISNUMBER(J220),ISNUMBER(V220),ABS(N(J220)-N(V220))&gt;=1),"RとSの乖離（案分ならUに明記）",IF(AND(G220="対象",L220=""),"Uに制約・代替策・未検証を記載",IF(AND(G220="対象外",L220=""),"対象外の理由・承認者をUに記載",IF(OR(M220="",N220="",O220=""),"V～Xを入力",IF(P220&gt;0,"未記入あり（P列）","OK"))))))))))</f>
        <v>会社名コード未設定（D4）</v>
      </c>
      <c r="R220" s="11" t="str">
        <f aca="false">IF(INDEX(評価項目対応!$M$6:$M$236,$U220)="","",INDEX(評価項目対応!$M$6:$M$236,$U220))</f>
        <v>5.07b</v>
      </c>
      <c r="S220" s="11" t="str">
        <f aca="false">INDEX(評価項目対応!$H$6:$H$236,$U220)</f>
        <v>既存IR手順・演習記録の該当箇所とChromeOS／クラウドの役割を確認する。新規の全社演習は設けず、不足は責任者へ課題化する。 Chromebook固有の手順（端末無効化・アカウント停止・証跡保全）は5.07b（11/4）で確認する。</v>
      </c>
      <c r="T220" s="11" t="str">
        <f aca="false">TRIM(IF(INDEX(評価項目対応!$K$6:$K$236,$U220)="","","試験ID: "&amp;INDEX(評価項目対応!$K$6:$K$236,$U220)&amp;"　")&amp;IF(INDEX(評価項目対応!$L$6:$L$236,$U220)="","","判断理由: "&amp;INDEX(評価項目対応!$L$6:$L$236,$U220)))</f>
        <v/>
      </c>
      <c r="U220" s="28" t="n">
        <f aca="false">MATCH($A220,評価項目対応!$A$6:$A$236,0)</f>
        <v>214</v>
      </c>
      <c r="V220" s="28" t="str">
        <f aca="false">IFERROR(VLOOKUP(I220,$X$6:$Y$11,2,FALSE()),"")</f>
        <v/>
      </c>
    </row>
    <row r="221" customFormat="false" ht="78" hidden="false" customHeight="true" outlineLevel="0" collapsed="false">
      <c r="A221" s="13" t="n">
        <v>217</v>
      </c>
      <c r="B221" s="13" t="n">
        <f aca="false">INDEX(評価項目対応!$B$6:$B$236,$U221)</f>
        <v>197</v>
      </c>
      <c r="C221" s="13" t="str">
        <f aca="false">INDEX(評価項目対応!$F$6:$F$236,$U221)</f>
        <v>5.07a</v>
      </c>
      <c r="D221" s="11" t="str">
        <f aca="false">INDEX(評価項目対応!$D$6:$D$236,$U221)</f>
        <v>ログイン調査</v>
      </c>
      <c r="E221" s="11" t="str">
        <f aca="false">INDEX(評価項目対応!$E$6:$E$236,$U221)</f>
        <v>異常なVPNデバイスログインやその他の不審なログインをチェックする。</v>
      </c>
      <c r="F221" s="13" t="str">
        <f aca="false">IF($D$4="","",$D$4)</f>
        <v/>
      </c>
      <c r="G221" s="13" t="str">
        <f aca="false">IFERROR(IF(INDEX(評価項目対応!$I$6:$I$236,$U221)="対象","対象",IF(INDEX(評価項目対応!$I$6:$I$236,$U221)="対象外（承認済）","対象外",IF(INDEX(評価項目対応!$I$6:$I$236,$U221)="未確定","n/a",""))),"")</f>
        <v>n/a</v>
      </c>
      <c r="H221" s="25" t="str">
        <f aca="false">IF(ISBLANK(J221),"",IF(J221=5,"Yes",IF(J221=4,"Yes","No")))</f>
        <v/>
      </c>
      <c r="I221" s="18"/>
      <c r="J221" s="26"/>
      <c r="K221" s="18"/>
      <c r="L221" s="18"/>
      <c r="M221" s="11" t="str">
        <f aca="false">IF(INDEX(評価項目対応!$J$6:$J$236,$U221)="","",INDEX(評価項目対応!$J$6:$J$236,$U221))</f>
        <v/>
      </c>
      <c r="N221" s="11" t="str">
        <f aca="false">IF(INDEX(評価項目対応!$N$6:$N$236,$U221)="","",INDEX(評価項目対応!$N$6:$N$236,$U221))</f>
        <v/>
      </c>
      <c r="O221" s="11" t="str">
        <f aca="false">IF(INDEX(評価項目対応!$O$6:$O$236,$U221)="","",INDEX(評価項目対応!$O$6:$O$236,$U221))</f>
        <v/>
      </c>
      <c r="P221" s="27" t="n">
        <f aca="false">COUNTIF(F221:G221,"")+COUNTIF(I221:O221,"")-IF(AND(G221="対象外",K221=""),1,0)</f>
        <v>8</v>
      </c>
      <c r="Q221" s="11" t="str">
        <f aca="false">IF(F221="","会社名コード未設定（D4）",IF(OR(G221="",G221="n/a"),"適用性を確定（評価項目対応I列）",IF(AND(G221="対象外",OR(I221&lt;&gt;"対象外",J221&lt;&gt;"n/a")),"対象外ならR=対象外・S=n/a",IF(AND(G221="対象",OR(I221="対象外",J221="n/a")),"対象なのにR／Sが対象外・n/a",IF(AND(G221="対象",OR(I221="",J221="")),"R・Sを入力",IF(AND(ISNUMBER(J221),ISNUMBER(V221),ABS(N(J221)-N(V221))&gt;=1),"RとSの乖離（案分ならUに明記）",IF(AND(G221="対象",L221=""),"Uに制約・代替策・未検証を記載",IF(AND(G221="対象外",L221=""),"対象外の理由・承認者をUに記載",IF(OR(M221="",N221="",O221=""),"V～Xを入力",IF(P221&gt;0,"未記入あり（P列）","OK"))))))))))</f>
        <v>会社名コード未設定（D4）</v>
      </c>
      <c r="R221" s="11" t="str">
        <f aca="false">IF(INDEX(評価項目対応!$M$6:$M$236,$U221)="","",INDEX(評価項目対応!$M$6:$M$236,$U221))</f>
        <v>5.07b</v>
      </c>
      <c r="S221" s="11" t="str">
        <f aca="false">INDEX(評価項目対応!$H$6:$H$236,$U221)</f>
        <v>既存IR手順・演習記録の該当箇所とChromeOS／クラウドの役割を確認する。新規の全社演習は設けず、不足は責任者へ課題化する。 Chromebook固有の手順（端末無効化・アカウント停止・証跡保全）は5.07b（11/4）で確認する。</v>
      </c>
      <c r="T221" s="11" t="str">
        <f aca="false">TRIM(IF(INDEX(評価項目対応!$K$6:$K$236,$U221)="","","試験ID: "&amp;INDEX(評価項目対応!$K$6:$K$236,$U221)&amp;"　")&amp;IF(INDEX(評価項目対応!$L$6:$L$236,$U221)="","","判断理由: "&amp;INDEX(評価項目対応!$L$6:$L$236,$U221)))</f>
        <v/>
      </c>
      <c r="U221" s="28" t="n">
        <f aca="false">MATCH($A221,評価項目対応!$A$6:$A$236,0)</f>
        <v>215</v>
      </c>
      <c r="V221" s="28" t="str">
        <f aca="false">IFERROR(VLOOKUP(I221,$X$6:$Y$11,2,FALSE()),"")</f>
        <v/>
      </c>
    </row>
    <row r="222" customFormat="false" ht="63.75" hidden="false" customHeight="true" outlineLevel="0" collapsed="false">
      <c r="A222" s="13" t="n">
        <v>218</v>
      </c>
      <c r="B222" s="13" t="n">
        <f aca="false">INDEX(評価項目対応!$B$6:$B$236,$U222)</f>
        <v>222</v>
      </c>
      <c r="C222" s="13" t="str">
        <f aca="false">INDEX(評価項目対応!$F$6:$F$236,$U222)</f>
        <v>5.07a</v>
      </c>
      <c r="D222" s="11" t="str">
        <f aca="false">INDEX(評価項目対応!$D$6:$D$236,$U222)</f>
        <v>暗号化管理</v>
      </c>
      <c r="E222" s="11" t="str">
        <f aca="false">INDEX(評価項目対応!$E$6:$E$236,$U222)</f>
        <v>暗号化されたファイルまたは身代金メモのファイルプロパティを確認し、
ファイルの所有権に関連する可能性のある特定のユーザーを特定する。</v>
      </c>
      <c r="F222" s="13" t="str">
        <f aca="false">IF($D$4="","",$D$4)</f>
        <v/>
      </c>
      <c r="G222" s="13" t="str">
        <f aca="false">IFERROR(IF(INDEX(評価項目対応!$I$6:$I$236,$U222)="対象","対象",IF(INDEX(評価項目対応!$I$6:$I$236,$U222)="対象外（承認済）","対象外",IF(INDEX(評価項目対応!$I$6:$I$236,$U222)="未確定","n/a",""))),"")</f>
        <v>n/a</v>
      </c>
      <c r="H222" s="25" t="str">
        <f aca="false">IF(ISBLANK(J222),"",IF(J222=5,"Yes",IF(J222=4,"Yes","No")))</f>
        <v/>
      </c>
      <c r="I222" s="18"/>
      <c r="J222" s="26"/>
      <c r="K222" s="18"/>
      <c r="L222" s="18"/>
      <c r="M222" s="11" t="str">
        <f aca="false">IF(INDEX(評価項目対応!$J$6:$J$236,$U222)="","",INDEX(評価項目対応!$J$6:$J$236,$U222))</f>
        <v/>
      </c>
      <c r="N222" s="11" t="str">
        <f aca="false">IF(INDEX(評価項目対応!$N$6:$N$236,$U222)="","",INDEX(評価項目対応!$N$6:$N$236,$U222))</f>
        <v/>
      </c>
      <c r="O222" s="11" t="str">
        <f aca="false">IF(INDEX(評価項目対応!$O$6:$O$236,$U222)="","",INDEX(評価項目対応!$O$6:$O$236,$U222))</f>
        <v/>
      </c>
      <c r="P222" s="27" t="n">
        <f aca="false">COUNTIF(F222:G222,"")+COUNTIF(I222:O222,"")-IF(AND(G222="対象外",K222=""),1,0)</f>
        <v>8</v>
      </c>
      <c r="Q222" s="11" t="str">
        <f aca="false">IF(F222="","会社名コード未設定（D4）",IF(OR(G222="",G222="n/a"),"適用性を確定（評価項目対応I列）",IF(AND(G222="対象外",OR(I222&lt;&gt;"対象外",J222&lt;&gt;"n/a")),"対象外ならR=対象外・S=n/a",IF(AND(G222="対象",OR(I222="対象外",J222="n/a")),"対象なのにR／Sが対象外・n/a",IF(AND(G222="対象",OR(I222="",J222="")),"R・Sを入力",IF(AND(ISNUMBER(J222),ISNUMBER(V222),ABS(N(J222)-N(V222))&gt;=1),"RとSの乖離（案分ならUに明記）",IF(AND(G222="対象",L222=""),"Uに制約・代替策・未検証を記載",IF(AND(G222="対象外",L222=""),"対象外の理由・承認者をUに記載",IF(OR(M222="",N222="",O222=""),"V～Xを入力",IF(P222&gt;0,"未記入あり（P列）","OK"))))))))))</f>
        <v>会社名コード未設定（D4）</v>
      </c>
      <c r="R222" s="11" t="str">
        <f aca="false">IF(INDEX(評価項目対応!$M$6:$M$236,$U222)="","",INDEX(評価項目対応!$M$6:$M$236,$U222))</f>
        <v/>
      </c>
      <c r="S222" s="11" t="str">
        <f aca="false">INDEX(評価項目対応!$H$6:$H$236,$U222)</f>
        <v>既存IR手順・演習記録の該当箇所とChromeOS／クラウドの役割を確認する。新規の全社演習は設けず、不足は責任者へ課題化する。</v>
      </c>
      <c r="T222" s="11" t="str">
        <f aca="false">TRIM(IF(INDEX(評価項目対応!$K$6:$K$236,$U222)="","","試験ID: "&amp;INDEX(評価項目対応!$K$6:$K$236,$U222)&amp;"　")&amp;IF(INDEX(評価項目対応!$L$6:$L$236,$U222)="","","判断理由: "&amp;INDEX(評価項目対応!$L$6:$L$236,$U222)))</f>
        <v/>
      </c>
      <c r="U222" s="28" t="n">
        <f aca="false">MATCH($A222,評価項目対応!$A$6:$A$236,0)</f>
        <v>216</v>
      </c>
      <c r="V222" s="28" t="str">
        <f aca="false">IFERROR(VLOOKUP(I222,$X$6:$Y$11,2,FALSE()),"")</f>
        <v/>
      </c>
    </row>
    <row r="223" customFormat="false" ht="78" hidden="false" customHeight="true" outlineLevel="0" collapsed="false">
      <c r="A223" s="13" t="n">
        <v>219</v>
      </c>
      <c r="B223" s="13" t="n">
        <f aca="false">INDEX(評価項目対応!$B$6:$B$236,$U223)</f>
        <v>187</v>
      </c>
      <c r="C223" s="13" t="str">
        <f aca="false">INDEX(評価項目対応!$F$6:$F$236,$U223)</f>
        <v>5.07a</v>
      </c>
      <c r="D223" s="11" t="str">
        <f aca="false">INDEX(評価項目対応!$D$6:$D$236,$U223)</f>
        <v>影響評価</v>
      </c>
      <c r="E223" s="11" t="str">
        <f aca="false">INDEX(評価項目対応!$E$6:$E$236,$U223)</f>
        <v>影響を受けたシステムを、クリーンなネットワーク上での復元の優先順位
を付けて特定し、影響を受けたシステムに格納されているデータの性質を
確認する。</v>
      </c>
      <c r="F223" s="13" t="str">
        <f aca="false">IF($D$4="","",$D$4)</f>
        <v/>
      </c>
      <c r="G223" s="13" t="str">
        <f aca="false">IFERROR(IF(INDEX(評価項目対応!$I$6:$I$236,$U223)="対象","対象",IF(INDEX(評価項目対応!$I$6:$I$236,$U223)="対象外（承認済）","対象外",IF(INDEX(評価項目対応!$I$6:$I$236,$U223)="未確定","n/a",""))),"")</f>
        <v>n/a</v>
      </c>
      <c r="H223" s="25" t="str">
        <f aca="false">IF(ISBLANK(J223),"",IF(J223=5,"Yes",IF(J223=4,"Yes","No")))</f>
        <v/>
      </c>
      <c r="I223" s="18"/>
      <c r="J223" s="26"/>
      <c r="K223" s="18"/>
      <c r="L223" s="18"/>
      <c r="M223" s="11" t="str">
        <f aca="false">IF(INDEX(評価項目対応!$J$6:$J$236,$U223)="","",INDEX(評価項目対応!$J$6:$J$236,$U223))</f>
        <v/>
      </c>
      <c r="N223" s="11" t="str">
        <f aca="false">IF(INDEX(評価項目対応!$N$6:$N$236,$U223)="","",INDEX(評価項目対応!$N$6:$N$236,$U223))</f>
        <v/>
      </c>
      <c r="O223" s="11" t="str">
        <f aca="false">IF(INDEX(評価項目対応!$O$6:$O$236,$U223)="","",INDEX(評価項目対応!$O$6:$O$236,$U223))</f>
        <v/>
      </c>
      <c r="P223" s="27" t="n">
        <f aca="false">COUNTIF(F223:G223,"")+COUNTIF(I223:O223,"")-IF(AND(G223="対象外",K223=""),1,0)</f>
        <v>8</v>
      </c>
      <c r="Q223" s="11" t="str">
        <f aca="false">IF(F223="","会社名コード未設定（D4）",IF(OR(G223="",G223="n/a"),"適用性を確定（評価項目対応I列）",IF(AND(G223="対象外",OR(I223&lt;&gt;"対象外",J223&lt;&gt;"n/a")),"対象外ならR=対象外・S=n/a",IF(AND(G223="対象",OR(I223="対象外",J223="n/a")),"対象なのにR／Sが対象外・n/a",IF(AND(G223="対象",OR(I223="",J223="")),"R・Sを入力",IF(AND(ISNUMBER(J223),ISNUMBER(V223),ABS(N(J223)-N(V223))&gt;=1),"RとSの乖離（案分ならUに明記）",IF(AND(G223="対象",L223=""),"Uに制約・代替策・未検証を記載",IF(AND(G223="対象外",L223=""),"対象外の理由・承認者をUに記載",IF(OR(M223="",N223="",O223=""),"V～Xを入力",IF(P223&gt;0,"未記入あり（P列）","OK"))))))))))</f>
        <v>会社名コード未設定（D4）</v>
      </c>
      <c r="R223" s="11" t="str">
        <f aca="false">IF(INDEX(評価項目対応!$M$6:$M$236,$U223)="","",INDEX(評価項目対応!$M$6:$M$236,$U223))</f>
        <v/>
      </c>
      <c r="S223" s="11" t="str">
        <f aca="false">INDEX(評価項目対応!$H$6:$H$236,$U223)</f>
        <v>既存IR手順・演習記録の該当箇所とChromeOS／クラウドの役割を確認する。新規の全社演習は設けず、不足は責任者へ課題化する。</v>
      </c>
      <c r="T223" s="11" t="str">
        <f aca="false">TRIM(IF(INDEX(評価項目対応!$K$6:$K$236,$U223)="","","試験ID: "&amp;INDEX(評価項目対応!$K$6:$K$236,$U223)&amp;"　")&amp;IF(INDEX(評価項目対応!$L$6:$L$236,$U223)="","","判断理由: "&amp;INDEX(評価項目対応!$L$6:$L$236,$U223)))</f>
        <v/>
      </c>
      <c r="U223" s="28" t="n">
        <f aca="false">MATCH($A223,評価項目対応!$A$6:$A$236,0)</f>
        <v>217</v>
      </c>
      <c r="V223" s="28" t="str">
        <f aca="false">IFERROR(VLOOKUP(I223,$X$6:$Y$11,2,FALSE()),"")</f>
        <v/>
      </c>
    </row>
    <row r="224" customFormat="false" ht="78" hidden="false" customHeight="true" outlineLevel="0" collapsed="false">
      <c r="A224" s="13" t="n">
        <v>220</v>
      </c>
      <c r="B224" s="13" t="n">
        <f aca="false">INDEX(評価項目対応!$B$6:$B$236,$U224)</f>
        <v>189</v>
      </c>
      <c r="C224" s="13" t="str">
        <f aca="false">INDEX(評価項目対応!$F$6:$F$236,$U224)</f>
        <v>5.07a</v>
      </c>
      <c r="D224" s="11" t="str">
        <f aca="false">INDEX(評価項目対応!$D$6:$D$236,$U224)</f>
        <v>影響評価</v>
      </c>
      <c r="E224" s="11" t="str">
        <f aca="false">INDEX(評価項目対応!$E$6:$E$236,$U224)</f>
        <v>影響を受けていないと認識されているシステムとデバイスを追跡すること
で、復元と回復の優先順位を下げることができ、組織をより効率的に業務
に戻すことができる。</v>
      </c>
      <c r="F224" s="13" t="str">
        <f aca="false">IF($D$4="","",$D$4)</f>
        <v/>
      </c>
      <c r="G224" s="13" t="str">
        <f aca="false">IFERROR(IF(INDEX(評価項目対応!$I$6:$I$236,$U224)="対象","対象",IF(INDEX(評価項目対応!$I$6:$I$236,$U224)="対象外（承認済）","対象外",IF(INDEX(評価項目対応!$I$6:$I$236,$U224)="未確定","n/a",""))),"")</f>
        <v>n/a</v>
      </c>
      <c r="H224" s="25" t="str">
        <f aca="false">IF(ISBLANK(J224),"",IF(J224=5,"Yes",IF(J224=4,"Yes","No")))</f>
        <v/>
      </c>
      <c r="I224" s="18"/>
      <c r="J224" s="26"/>
      <c r="K224" s="18"/>
      <c r="L224" s="18"/>
      <c r="M224" s="11" t="str">
        <f aca="false">IF(INDEX(評価項目対応!$J$6:$J$236,$U224)="","",INDEX(評価項目対応!$J$6:$J$236,$U224))</f>
        <v/>
      </c>
      <c r="N224" s="11" t="str">
        <f aca="false">IF(INDEX(評価項目対応!$N$6:$N$236,$U224)="","",INDEX(評価項目対応!$N$6:$N$236,$U224))</f>
        <v/>
      </c>
      <c r="O224" s="11" t="str">
        <f aca="false">IF(INDEX(評価項目対応!$O$6:$O$236,$U224)="","",INDEX(評価項目対応!$O$6:$O$236,$U224))</f>
        <v/>
      </c>
      <c r="P224" s="27" t="n">
        <f aca="false">COUNTIF(F224:G224,"")+COUNTIF(I224:O224,"")-IF(AND(G224="対象外",K224=""),1,0)</f>
        <v>8</v>
      </c>
      <c r="Q224" s="11" t="str">
        <f aca="false">IF(F224="","会社名コード未設定（D4）",IF(OR(G224="",G224="n/a"),"適用性を確定（評価項目対応I列）",IF(AND(G224="対象外",OR(I224&lt;&gt;"対象外",J224&lt;&gt;"n/a")),"対象外ならR=対象外・S=n/a",IF(AND(G224="対象",OR(I224="対象外",J224="n/a")),"対象なのにR／Sが対象外・n/a",IF(AND(G224="対象",OR(I224="",J224="")),"R・Sを入力",IF(AND(ISNUMBER(J224),ISNUMBER(V224),ABS(N(J224)-N(V224))&gt;=1),"RとSの乖離（案分ならUに明記）",IF(AND(G224="対象",L224=""),"Uに制約・代替策・未検証を記載",IF(AND(G224="対象外",L224=""),"対象外の理由・承認者をUに記載",IF(OR(M224="",N224="",O224=""),"V～Xを入力",IF(P224&gt;0,"未記入あり（P列）","OK"))))))))))</f>
        <v>会社名コード未設定（D4）</v>
      </c>
      <c r="R224" s="11" t="str">
        <f aca="false">IF(INDEX(評価項目対応!$M$6:$M$236,$U224)="","",INDEX(評価項目対応!$M$6:$M$236,$U224))</f>
        <v/>
      </c>
      <c r="S224" s="11" t="str">
        <f aca="false">INDEX(評価項目対応!$H$6:$H$236,$U224)</f>
        <v>既存IR手順・演習記録の該当箇所とChromeOS／クラウドの役割を確認する。新規の全社演習は設けず、不足は責任者へ課題化する。</v>
      </c>
      <c r="T224" s="11" t="str">
        <f aca="false">TRIM(IF(INDEX(評価項目対応!$K$6:$K$236,$U224)="","","試験ID: "&amp;INDEX(評価項目対応!$K$6:$K$236,$U224)&amp;"　")&amp;IF(INDEX(評価項目対応!$L$6:$L$236,$U224)="","","判断理由: "&amp;INDEX(評価項目対応!$L$6:$L$236,$U224)))</f>
        <v/>
      </c>
      <c r="U224" s="28" t="n">
        <f aca="false">MATCH($A224,評価項目対応!$A$6:$A$236,0)</f>
        <v>218</v>
      </c>
      <c r="V224" s="28" t="str">
        <f aca="false">IFERROR(VLOOKUP(I224,$X$6:$Y$11,2,FALSE()),"")</f>
        <v/>
      </c>
    </row>
    <row r="225" customFormat="false" ht="49.5" hidden="false" customHeight="true" outlineLevel="0" collapsed="false">
      <c r="A225" s="13" t="n">
        <v>221</v>
      </c>
      <c r="B225" s="13" t="n">
        <f aca="false">INDEX(評価項目対応!$B$6:$B$236,$U225)</f>
        <v>206</v>
      </c>
      <c r="C225" s="13" t="str">
        <f aca="false">INDEX(評価項目対応!$F$6:$F$236,$U225)</f>
        <v>5.07a</v>
      </c>
      <c r="D225" s="11" t="str">
        <f aca="false">INDEX(評価項目対応!$D$6:$D$236,$U225)</f>
        <v>永続化調査</v>
      </c>
      <c r="E225" s="11" t="str">
        <f aca="false">INDEX(評価項目対応!$E$6:$E$236,$U225)</f>
        <v>新規作成されたサービス、予期しないスケジュールタスクを確認する。</v>
      </c>
      <c r="F225" s="13" t="str">
        <f aca="false">IF($D$4="","",$D$4)</f>
        <v/>
      </c>
      <c r="G225" s="13" t="str">
        <f aca="false">IFERROR(IF(INDEX(評価項目対応!$I$6:$I$236,$U225)="対象","対象",IF(INDEX(評価項目対応!$I$6:$I$236,$U225)="対象外（承認済）","対象外",IF(INDEX(評価項目対応!$I$6:$I$236,$U225)="未確定","n/a",""))),"")</f>
        <v>n/a</v>
      </c>
      <c r="H225" s="25" t="str">
        <f aca="false">IF(ISBLANK(J225),"",IF(J225=5,"Yes",IF(J225=4,"Yes","No")))</f>
        <v/>
      </c>
      <c r="I225" s="18"/>
      <c r="J225" s="26"/>
      <c r="K225" s="18"/>
      <c r="L225" s="18"/>
      <c r="M225" s="11" t="str">
        <f aca="false">IF(INDEX(評価項目対応!$J$6:$J$236,$U225)="","",INDEX(評価項目対応!$J$6:$J$236,$U225))</f>
        <v/>
      </c>
      <c r="N225" s="11" t="str">
        <f aca="false">IF(INDEX(評価項目対応!$N$6:$N$236,$U225)="","",INDEX(評価項目対応!$N$6:$N$236,$U225))</f>
        <v/>
      </c>
      <c r="O225" s="11" t="str">
        <f aca="false">IF(INDEX(評価項目対応!$O$6:$O$236,$U225)="","",INDEX(評価項目対応!$O$6:$O$236,$U225))</f>
        <v/>
      </c>
      <c r="P225" s="27" t="n">
        <f aca="false">COUNTIF(F225:G225,"")+COUNTIF(I225:O225,"")-IF(AND(G225="対象外",K225=""),1,0)</f>
        <v>8</v>
      </c>
      <c r="Q225" s="11" t="str">
        <f aca="false">IF(F225="","会社名コード未設定（D4）",IF(OR(G225="",G225="n/a"),"適用性を確定（評価項目対応I列）",IF(AND(G225="対象外",OR(I225&lt;&gt;"対象外",J225&lt;&gt;"n/a")),"対象外ならR=対象外・S=n/a",IF(AND(G225="対象",OR(I225="対象外",J225="n/a")),"対象なのにR／Sが対象外・n/a",IF(AND(G225="対象",OR(I225="",J225="")),"R・Sを入力",IF(AND(ISNUMBER(J225),ISNUMBER(V225),ABS(N(J225)-N(V225))&gt;=1),"RとSの乖離（案分ならUに明記）",IF(AND(G225="対象",L225=""),"Uに制約・代替策・未検証を記載",IF(AND(G225="対象外",L225=""),"対象外の理由・承認者をUに記載",IF(OR(M225="",N225="",O225=""),"V～Xを入力",IF(P225&gt;0,"未記入あり（P列）","OK"))))))))))</f>
        <v>会社名コード未設定（D4）</v>
      </c>
      <c r="R225" s="11" t="str">
        <f aca="false">IF(INDEX(評価項目対応!$M$6:$M$236,$U225)="","",INDEX(評価項目対応!$M$6:$M$236,$U225))</f>
        <v/>
      </c>
      <c r="S225" s="11" t="str">
        <f aca="false">INDEX(評価項目対応!$H$6:$H$236,$U225)</f>
        <v>既存IR手順・演習記録の該当箇所とChromeOS／クラウドの役割を確認する。新規の全社演習は設けず、不足は責任者へ課題化する。</v>
      </c>
      <c r="T225" s="11" t="str">
        <f aca="false">TRIM(IF(INDEX(評価項目対応!$K$6:$K$236,$U225)="","","試験ID: "&amp;INDEX(評価項目対応!$K$6:$K$236,$U225)&amp;"　")&amp;IF(INDEX(評価項目対応!$L$6:$L$236,$U225)="","","判断理由: "&amp;INDEX(評価項目対応!$L$6:$L$236,$U225)))</f>
        <v/>
      </c>
      <c r="U225" s="28" t="n">
        <f aca="false">MATCH($A225,評価項目対応!$A$6:$A$236,0)</f>
        <v>219</v>
      </c>
      <c r="V225" s="28" t="str">
        <f aca="false">IFERROR(VLOOKUP(I225,$X$6:$Y$11,2,FALSE()),"")</f>
        <v/>
      </c>
    </row>
    <row r="226" customFormat="false" ht="105.75" hidden="false" customHeight="true" outlineLevel="0" collapsed="false">
      <c r="A226" s="13" t="n">
        <v>222</v>
      </c>
      <c r="B226" s="13" t="n">
        <f aca="false">INDEX(評価項目対応!$B$6:$B$236,$U226)</f>
        <v>210</v>
      </c>
      <c r="C226" s="13" t="str">
        <f aca="false">INDEX(評価項目対応!$F$6:$F$236,$U226)</f>
        <v>5.08</v>
      </c>
      <c r="D226" s="11" t="str">
        <f aca="false">INDEX(評価項目対応!$D$6:$D$236,$U226)</f>
        <v>外部報告</v>
      </c>
      <c r="E226" s="11" t="str">
        <f aca="false">INDEX(評価項目対応!$E$6:$E$236,$U226)</f>
        <v>CISAや最寄りのFBI現地事務所、FBI Internet Crime Complaint Center (
IC3)、最寄りの米国シークレットサービス現地事務所にインシデントを報
告し、支援を求めることを検討する。（2020年版のSeq.０、Seq.１に相当
する）</v>
      </c>
      <c r="F226" s="13" t="str">
        <f aca="false">IF($D$4="","",$D$4)</f>
        <v/>
      </c>
      <c r="G226" s="13" t="str">
        <f aca="false">IFERROR(IF(INDEX(評価項目対応!$I$6:$I$236,$U226)="対象","対象",IF(INDEX(評価項目対応!$I$6:$I$236,$U226)="対象外（承認済）","対象外",IF(INDEX(評価項目対応!$I$6:$I$236,$U226)="未確定","n/a",""))),"")</f>
        <v>n/a</v>
      </c>
      <c r="H226" s="25" t="str">
        <f aca="false">IF(ISBLANK(J226),"",IF(J226=5,"Yes",IF(J226=4,"Yes","No")))</f>
        <v/>
      </c>
      <c r="I226" s="18"/>
      <c r="J226" s="26"/>
      <c r="K226" s="18"/>
      <c r="L226" s="18"/>
      <c r="M226" s="11" t="str">
        <f aca="false">IF(INDEX(評価項目対応!$J$6:$J$236,$U226)="","",INDEX(評価項目対応!$J$6:$J$236,$U226))</f>
        <v/>
      </c>
      <c r="N226" s="11" t="str">
        <f aca="false">IF(INDEX(評価項目対応!$N$6:$N$236,$U226)="","",INDEX(評価項目対応!$N$6:$N$236,$U226))</f>
        <v/>
      </c>
      <c r="O226" s="11" t="str">
        <f aca="false">IF(INDEX(評価項目対応!$O$6:$O$236,$U226)="","",INDEX(評価項目対応!$O$6:$O$236,$U226))</f>
        <v/>
      </c>
      <c r="P226" s="27" t="n">
        <f aca="false">COUNTIF(F226:G226,"")+COUNTIF(I226:O226,"")-IF(AND(G226="対象外",K226=""),1,0)</f>
        <v>8</v>
      </c>
      <c r="Q226" s="11" t="str">
        <f aca="false">IF(F226="","会社名コード未設定（D4）",IF(OR(G226="",G226="n/a"),"適用性を確定（評価項目対応I列）",IF(AND(G226="対象外",OR(I226&lt;&gt;"対象外",J226&lt;&gt;"n/a")),"対象外ならR=対象外・S=n/a",IF(AND(G226="対象",OR(I226="対象外",J226="n/a")),"対象なのにR／Sが対象外・n/a",IF(AND(G226="対象",OR(I226="",J226="")),"R・Sを入力",IF(AND(ISNUMBER(J226),ISNUMBER(V226),ABS(N(J226)-N(V226))&gt;=1),"RとSの乖離（案分ならUに明記）",IF(AND(G226="対象",L226=""),"Uに制約・代替策・未検証を記載",IF(AND(G226="対象外",L226=""),"対象外の理由・承認者をUに記載",IF(OR(M226="",N226="",O226=""),"V～Xを入力",IF(P226&gt;0,"未記入あり（P列）","OK"))))))))))</f>
        <v>会社名コード未設定（D4）</v>
      </c>
      <c r="R226" s="11" t="str">
        <f aca="false">IF(INDEX(評価項目対応!$M$6:$M$236,$U226)="","",INDEX(評価項目対応!$M$6:$M$236,$U226))</f>
        <v/>
      </c>
      <c r="S226" s="11" t="str">
        <f aca="false">INDEX(評価項目対応!$H$6:$H$236,$U226)</f>
        <v>社内の教育・IR・報告・承認・定期改善の規程と実績を確認する。未整備は課題化し適用除外しない。</v>
      </c>
      <c r="T226" s="11" t="str">
        <f aca="false">TRIM(IF(INDEX(評価項目対応!$K$6:$K$236,$U226)="","","試験ID: "&amp;INDEX(評価項目対応!$K$6:$K$236,$U226)&amp;"　")&amp;IF(INDEX(評価項目対応!$L$6:$L$236,$U226)="","","判断理由: "&amp;INDEX(評価項目対応!$L$6:$L$236,$U226)))</f>
        <v/>
      </c>
      <c r="U226" s="28" t="n">
        <f aca="false">MATCH($A226,評価項目対応!$A$6:$A$236,0)</f>
        <v>220</v>
      </c>
      <c r="V226" s="28" t="str">
        <f aca="false">IFERROR(VLOOKUP(I226,$X$6:$Y$11,2,FALSE()),"")</f>
        <v/>
      </c>
    </row>
    <row r="227" customFormat="false" ht="78" hidden="false" customHeight="true" outlineLevel="0" collapsed="false">
      <c r="A227" s="13" t="n">
        <v>223</v>
      </c>
      <c r="B227" s="13" t="n">
        <f aca="false">INDEX(評価項目対応!$B$6:$B$236,$U227)</f>
        <v>218</v>
      </c>
      <c r="C227" s="13" t="str">
        <f aca="false">INDEX(評価項目対応!$F$6:$F$236,$U227)</f>
        <v>5.07a</v>
      </c>
      <c r="D227" s="11" t="str">
        <f aca="false">INDEX(評価項目対応!$D$6:$D$236,$U227)</f>
        <v>関連システム封じ込め</v>
      </c>
      <c r="E227" s="11" t="str">
        <f aca="false">INDEX(評価項目対応!$E$6:$E$236,$U227)</f>
        <v>上記で判明した侵害または危殆化の詳細に基づき、さらなる不正アクセス
や継続的な不正アクセスに使用される可能性のある関連システムを封じ込
める。</v>
      </c>
      <c r="F227" s="13" t="str">
        <f aca="false">IF($D$4="","",$D$4)</f>
        <v/>
      </c>
      <c r="G227" s="13" t="str">
        <f aca="false">IFERROR(IF(INDEX(評価項目対応!$I$6:$I$236,$U227)="対象","対象",IF(INDEX(評価項目対応!$I$6:$I$236,$U227)="対象外（承認済）","対象外",IF(INDEX(評価項目対応!$I$6:$I$236,$U227)="未確定","n/a",""))),"")</f>
        <v>n/a</v>
      </c>
      <c r="H227" s="25" t="str">
        <f aca="false">IF(ISBLANK(J227),"",IF(J227=5,"Yes",IF(J227=4,"Yes","No")))</f>
        <v/>
      </c>
      <c r="I227" s="18"/>
      <c r="J227" s="26"/>
      <c r="K227" s="18"/>
      <c r="L227" s="18"/>
      <c r="M227" s="11" t="str">
        <f aca="false">IF(INDEX(評価項目対応!$J$6:$J$236,$U227)="","",INDEX(評価項目対応!$J$6:$J$236,$U227))</f>
        <v/>
      </c>
      <c r="N227" s="11" t="str">
        <f aca="false">IF(INDEX(評価項目対応!$N$6:$N$236,$U227)="","",INDEX(評価項目対応!$N$6:$N$236,$U227))</f>
        <v/>
      </c>
      <c r="O227" s="11" t="str">
        <f aca="false">IF(INDEX(評価項目対応!$O$6:$O$236,$U227)="","",INDEX(評価項目対応!$O$6:$O$236,$U227))</f>
        <v/>
      </c>
      <c r="P227" s="27" t="n">
        <f aca="false">COUNTIF(F227:G227,"")+COUNTIF(I227:O227,"")-IF(AND(G227="対象外",K227=""),1,0)</f>
        <v>8</v>
      </c>
      <c r="Q227" s="11" t="str">
        <f aca="false">IF(F227="","会社名コード未設定（D4）",IF(OR(G227="",G227="n/a"),"適用性を確定（評価項目対応I列）",IF(AND(G227="対象外",OR(I227&lt;&gt;"対象外",J227&lt;&gt;"n/a")),"対象外ならR=対象外・S=n/a",IF(AND(G227="対象",OR(I227="対象外",J227="n/a")),"対象なのにR／Sが対象外・n/a",IF(AND(G227="対象",OR(I227="",J227="")),"R・Sを入力",IF(AND(ISNUMBER(J227),ISNUMBER(V227),ABS(N(J227)-N(V227))&gt;=1),"RとSの乖離（案分ならUに明記）",IF(AND(G227="対象",L227=""),"Uに制約・代替策・未検証を記載",IF(AND(G227="対象外",L227=""),"対象外の理由・承認者をUに記載",IF(OR(M227="",N227="",O227=""),"V～Xを入力",IF(P227&gt;0,"未記入あり（P列）","OK"))))))))))</f>
        <v>会社名コード未設定（D4）</v>
      </c>
      <c r="R227" s="11" t="str">
        <f aca="false">IF(INDEX(評価項目対応!$M$6:$M$236,$U227)="","",INDEX(評価項目対応!$M$6:$M$236,$U227))</f>
        <v>5.07b</v>
      </c>
      <c r="S227" s="11" t="str">
        <f aca="false">INDEX(評価項目対応!$H$6:$H$236,$U227)</f>
        <v>既存IR手順・演習記録の該当箇所とChromeOS／クラウドの役割を確認する。新規の全社演習は設けず、不足は責任者へ課題化する。 Chromebook固有の手順（端末無効化・アカウント停止・証跡保全）は5.07b（11/4）で確認する。</v>
      </c>
      <c r="T227" s="11" t="str">
        <f aca="false">TRIM(IF(INDEX(評価項目対応!$K$6:$K$236,$U227)="","","試験ID: "&amp;INDEX(評価項目対応!$K$6:$K$236,$U227)&amp;"　")&amp;IF(INDEX(評価項目対応!$L$6:$L$236,$U227)="","","判断理由: "&amp;INDEX(評価項目対応!$L$6:$L$236,$U227)))</f>
        <v/>
      </c>
      <c r="U227" s="28" t="n">
        <f aca="false">MATCH($A227,評価項目対応!$A$6:$A$236,0)</f>
        <v>221</v>
      </c>
      <c r="V227" s="28" t="str">
        <f aca="false">IFERROR(VLOOKUP(I227,$X$6:$Y$11,2,FALSE()),"")</f>
        <v/>
      </c>
    </row>
    <row r="228" customFormat="false" ht="49.5" hidden="false" customHeight="true" outlineLevel="0" collapsed="false">
      <c r="A228" s="13" t="n">
        <v>224</v>
      </c>
      <c r="B228" s="13" t="n">
        <f aca="false">INDEX(評価項目対応!$B$6:$B$236,$U228)</f>
        <v>194</v>
      </c>
      <c r="C228" s="13" t="str">
        <f aca="false">INDEX(評価項目対応!$F$6:$F$236,$U228)</f>
        <v>5.07a</v>
      </c>
      <c r="D228" s="11" t="str">
        <f aca="false">INDEX(評価項目対応!$D$6:$D$236,$U228)</f>
        <v>脅威ハンティング</v>
      </c>
      <c r="E228" s="11" t="str">
        <f aca="false">INDEX(評価項目対応!$E$6:$E$236,$U228)</f>
        <v>脅威検索活動を開始する。</v>
      </c>
      <c r="F228" s="13" t="str">
        <f aca="false">IF($D$4="","",$D$4)</f>
        <v/>
      </c>
      <c r="G228" s="13" t="str">
        <f aca="false">IFERROR(IF(INDEX(評価項目対応!$I$6:$I$236,$U228)="対象","対象",IF(INDEX(評価項目対応!$I$6:$I$236,$U228)="対象外（承認済）","対象外",IF(INDEX(評価項目対応!$I$6:$I$236,$U228)="未確定","n/a",""))),"")</f>
        <v>n/a</v>
      </c>
      <c r="H228" s="25" t="str">
        <f aca="false">IF(ISBLANK(J228),"",IF(J228=5,"Yes",IF(J228=4,"Yes","No")))</f>
        <v/>
      </c>
      <c r="I228" s="18"/>
      <c r="J228" s="26"/>
      <c r="K228" s="18"/>
      <c r="L228" s="18"/>
      <c r="M228" s="11" t="str">
        <f aca="false">IF(INDEX(評価項目対応!$J$6:$J$236,$U228)="","",INDEX(評価項目対応!$J$6:$J$236,$U228))</f>
        <v/>
      </c>
      <c r="N228" s="11" t="str">
        <f aca="false">IF(INDEX(評価項目対応!$N$6:$N$236,$U228)="","",INDEX(評価項目対応!$N$6:$N$236,$U228))</f>
        <v/>
      </c>
      <c r="O228" s="11" t="str">
        <f aca="false">IF(INDEX(評価項目対応!$O$6:$O$236,$U228)="","",INDEX(評価項目対応!$O$6:$O$236,$U228))</f>
        <v/>
      </c>
      <c r="P228" s="27" t="n">
        <f aca="false">COUNTIF(F228:G228,"")+COUNTIF(I228:O228,"")-IF(AND(G228="対象外",K228=""),1,0)</f>
        <v>8</v>
      </c>
      <c r="Q228" s="11" t="str">
        <f aca="false">IF(F228="","会社名コード未設定（D4）",IF(OR(G228="",G228="n/a"),"適用性を確定（評価項目対応I列）",IF(AND(G228="対象外",OR(I228&lt;&gt;"対象外",J228&lt;&gt;"n/a")),"対象外ならR=対象外・S=n/a",IF(AND(G228="対象",OR(I228="対象外",J228="n/a")),"対象なのにR／Sが対象外・n/a",IF(AND(G228="対象",OR(I228="",J228="")),"R・Sを入力",IF(AND(ISNUMBER(J228),ISNUMBER(V228),ABS(N(J228)-N(V228))&gt;=1),"RとSの乖離（案分ならUに明記）",IF(AND(G228="対象",L228=""),"Uに制約・代替策・未検証を記載",IF(AND(G228="対象外",L228=""),"対象外の理由・承認者をUに記載",IF(OR(M228="",N228="",O228=""),"V～Xを入力",IF(P228&gt;0,"未記入あり（P列）","OK"))))))))))</f>
        <v>会社名コード未設定（D4）</v>
      </c>
      <c r="R228" s="11" t="str">
        <f aca="false">IF(INDEX(評価項目対応!$M$6:$M$236,$U228)="","",INDEX(評価項目対応!$M$6:$M$236,$U228))</f>
        <v/>
      </c>
      <c r="S228" s="11" t="str">
        <f aca="false">INDEX(評価項目対応!$H$6:$H$236,$U228)</f>
        <v>既存IR手順・演習記録の該当箇所とChromeOS／クラウドの役割を確認する。新規の全社演習は設けず、不足は責任者へ課題化する。</v>
      </c>
      <c r="T228" s="11" t="str">
        <f aca="false">TRIM(IF(INDEX(評価項目対応!$K$6:$K$236,$U228)="","","試験ID: "&amp;INDEX(評価項目対応!$K$6:$K$236,$U228)&amp;"　")&amp;IF(INDEX(評価項目対応!$L$6:$L$236,$U228)="","","判断理由: "&amp;INDEX(評価項目対応!$L$6:$L$236,$U228)))</f>
        <v/>
      </c>
      <c r="U228" s="28" t="n">
        <f aca="false">MATCH($A228,評価項目対応!$A$6:$A$236,0)</f>
        <v>222</v>
      </c>
      <c r="V228" s="28" t="str">
        <f aca="false">IFERROR(VLOOKUP(I228,$X$6:$Y$11,2,FALSE()),"")</f>
        <v/>
      </c>
    </row>
    <row r="229" customFormat="false" ht="120" hidden="false" customHeight="true" outlineLevel="0" collapsed="false">
      <c r="A229" s="13" t="n">
        <v>225</v>
      </c>
      <c r="B229" s="13" t="n">
        <f aca="false">INDEX(評価項目対応!$B$6:$B$236,$U229)</f>
        <v>185</v>
      </c>
      <c r="C229" s="13" t="str">
        <f aca="false">INDEX(評価項目対応!$F$6:$F$236,$U229)</f>
        <v>5.07a</v>
      </c>
      <c r="D229" s="11" t="str">
        <f aca="false">INDEX(評価項目対応!$D$6:$D$236,$U229)</f>
        <v>攻撃面最小化</v>
      </c>
      <c r="E229" s="11" t="str">
        <f aca="false">INDEX(評価項目対応!$E$6:$E$236,$U229)</f>
        <v>最初の侵害後、悪意のあるアクターは、自分たちの行動が検出されたかど
うかを理解するために、組織のアクティビティや通信を監視する可能性が
ある。アクターに発見されたことや緩和措置が講じられていることを知ら
せないように、システムを協調的に分離し、電話などの帯域外の通信方法
を使用する。
（そうしないと、アクターがネットワークがオフラインになる前にアクセ
スを維持するために横方向に移動したり、ランサムウェアを広く展開した
りする可能性がある。）</v>
      </c>
      <c r="F229" s="13" t="str">
        <f aca="false">IF($D$4="","",$D$4)</f>
        <v/>
      </c>
      <c r="G229" s="13" t="str">
        <f aca="false">IFERROR(IF(INDEX(評価項目対応!$I$6:$I$236,$U229)="対象","対象",IF(INDEX(評価項目対応!$I$6:$I$236,$U229)="対象外（承認済）","対象外",IF(INDEX(評価項目対応!$I$6:$I$236,$U229)="未確定","n/a",""))),"")</f>
        <v>n/a</v>
      </c>
      <c r="H229" s="25" t="str">
        <f aca="false">IF(ISBLANK(J229),"",IF(J229=5,"Yes",IF(J229=4,"Yes","No")))</f>
        <v/>
      </c>
      <c r="I229" s="18"/>
      <c r="J229" s="26"/>
      <c r="K229" s="18"/>
      <c r="L229" s="18"/>
      <c r="M229" s="11" t="str">
        <f aca="false">IF(INDEX(評価項目対応!$J$6:$J$236,$U229)="","",INDEX(評価項目対応!$J$6:$J$236,$U229))</f>
        <v/>
      </c>
      <c r="N229" s="11" t="str">
        <f aca="false">IF(INDEX(評価項目対応!$N$6:$N$236,$U229)="","",INDEX(評価項目対応!$N$6:$N$236,$U229))</f>
        <v/>
      </c>
      <c r="O229" s="11" t="str">
        <f aca="false">IF(INDEX(評価項目対応!$O$6:$O$236,$U229)="","",INDEX(評価項目対応!$O$6:$O$236,$U229))</f>
        <v/>
      </c>
      <c r="P229" s="27" t="n">
        <f aca="false">COUNTIF(F229:G229,"")+COUNTIF(I229:O229,"")-IF(AND(G229="対象外",K229=""),1,0)</f>
        <v>8</v>
      </c>
      <c r="Q229" s="11" t="str">
        <f aca="false">IF(F229="","会社名コード未設定（D4）",IF(OR(G229="",G229="n/a"),"適用性を確定（評価項目対応I列）",IF(AND(G229="対象外",OR(I229&lt;&gt;"対象外",J229&lt;&gt;"n/a")),"対象外ならR=対象外・S=n/a",IF(AND(G229="対象",OR(I229="対象外",J229="n/a")),"対象なのにR／Sが対象外・n/a",IF(AND(G229="対象",OR(I229="",J229="")),"R・Sを入力",IF(AND(ISNUMBER(J229),ISNUMBER(V229),ABS(N(J229)-N(V229))&gt;=1),"RとSの乖離（案分ならUに明記）",IF(AND(G229="対象",L229=""),"Uに制約・代替策・未検証を記載",IF(AND(G229="対象外",L229=""),"対象外の理由・承認者をUに記載",IF(OR(M229="",N229="",O229=""),"V～Xを入力",IF(P229&gt;0,"未記入あり（P列）","OK"))))))))))</f>
        <v>会社名コード未設定（D4）</v>
      </c>
      <c r="R229" s="11" t="str">
        <f aca="false">IF(INDEX(評価項目対応!$M$6:$M$236,$U229)="","",INDEX(評価項目対応!$M$6:$M$236,$U229))</f>
        <v/>
      </c>
      <c r="S229" s="11" t="str">
        <f aca="false">INDEX(評価項目対応!$H$6:$H$236,$U229)</f>
        <v>既存IR手順・演習記録の該当箇所とChromeOS／クラウドの役割を確認する。新規の全社演習は設けず、不足は責任者へ課題化する。</v>
      </c>
      <c r="T229" s="11" t="str">
        <f aca="false">TRIM(IF(INDEX(評価項目対応!$K$6:$K$236,$U229)="","","試験ID: "&amp;INDEX(評価項目対応!$K$6:$K$236,$U229)&amp;"　")&amp;IF(INDEX(評価項目対応!$L$6:$L$236,$U229)="","","判断理由: "&amp;INDEX(評価項目対応!$L$6:$L$236,$U229)))</f>
        <v/>
      </c>
      <c r="U229" s="28" t="n">
        <f aca="false">MATCH($A229,評価項目対応!$A$6:$A$236,0)</f>
        <v>223</v>
      </c>
      <c r="V229" s="28" t="str">
        <f aca="false">IFERROR(VLOOKUP(I229,$X$6:$Y$11,2,FALSE()),"")</f>
        <v/>
      </c>
    </row>
    <row r="230" customFormat="false" ht="63.75" hidden="false" customHeight="true" outlineLevel="0" collapsed="false">
      <c r="A230" s="13" t="n">
        <v>226</v>
      </c>
      <c r="B230" s="13" t="n">
        <f aca="false">INDEX(評価項目対応!$B$6:$B$236,$U230)</f>
        <v>203</v>
      </c>
      <c r="C230" s="13" t="str">
        <f aca="false">INDEX(評価項目対応!$F$6:$F$236,$U230)</f>
        <v>4.04a</v>
      </c>
      <c r="D230" s="11" t="str">
        <f aca="false">INDEX(評価項目対応!$D$6:$D$236,$U230)</f>
        <v>資格情報保護</v>
      </c>
      <c r="E230" s="11" t="str">
        <f aca="false">INDEX(評価項目対応!$E$6:$E$236,$U230)</f>
        <v>ADの列挙やLSASS資格情報のダンプの兆候を確認する。(e.g., Mimikatz, 
Sysinternals ProcDump, or NTDSutil.exe).</v>
      </c>
      <c r="F230" s="13" t="str">
        <f aca="false">IF($D$4="","",$D$4)</f>
        <v/>
      </c>
      <c r="G230" s="13" t="str">
        <f aca="false">IFERROR(IF(INDEX(評価項目対応!$I$6:$I$236,$U230)="対象","対象",IF(INDEX(評価項目対応!$I$6:$I$236,$U230)="対象外（承認済）","対象外",IF(INDEX(評価項目対応!$I$6:$I$236,$U230)="未確定","n/a",""))),"")</f>
        <v>n/a</v>
      </c>
      <c r="H230" s="25" t="str">
        <f aca="false">IF(ISBLANK(J230),"",IF(J230=5,"Yes",IF(J230=4,"Yes","No")))</f>
        <v/>
      </c>
      <c r="I230" s="18"/>
      <c r="J230" s="26"/>
      <c r="K230" s="18"/>
      <c r="L230" s="18"/>
      <c r="M230" s="11" t="str">
        <f aca="false">IF(INDEX(評価項目対応!$J$6:$J$236,$U230)="","",INDEX(評価項目対応!$J$6:$J$236,$U230))</f>
        <v/>
      </c>
      <c r="N230" s="11" t="str">
        <f aca="false">IF(INDEX(評価項目対応!$N$6:$N$236,$U230)="","",INDEX(評価項目対応!$N$6:$N$236,$U230))</f>
        <v/>
      </c>
      <c r="O230" s="11" t="str">
        <f aca="false">IF(INDEX(評価項目対応!$O$6:$O$236,$U230)="","",INDEX(評価項目対応!$O$6:$O$236,$U230))</f>
        <v/>
      </c>
      <c r="P230" s="27" t="n">
        <f aca="false">COUNTIF(F230:G230,"")+COUNTIF(I230:O230,"")-IF(AND(G230="対象外",K230=""),1,0)</f>
        <v>8</v>
      </c>
      <c r="Q230" s="11" t="str">
        <f aca="false">IF(F230="","会社名コード未設定（D4）",IF(OR(G230="",G230="n/a"),"適用性を確定（評価項目対応I列）",IF(AND(G230="対象外",OR(I230&lt;&gt;"対象外",J230&lt;&gt;"n/a")),"対象外ならR=対象外・S=n/a",IF(AND(G230="対象",OR(I230="対象外",J230="n/a")),"対象なのにR／Sが対象外・n/a",IF(AND(G230="対象",OR(I230="",J230="")),"R・Sを入力",IF(AND(ISNUMBER(J230),ISNUMBER(V230),ABS(N(J230)-N(V230))&gt;=1),"RとSの乖離（案分ならUに明記）",IF(AND(G230="対象",L230=""),"Uに制約・代替策・未検証を記載",IF(AND(G230="対象外",L230=""),"対象外の理由・承認者をUに記載",IF(OR(M230="",N230="",O230=""),"V～Xを入力",IF(P230&gt;0,"未記入あり（P列）","OK"))))))))))</f>
        <v>会社名コード未設定（D4）</v>
      </c>
      <c r="R230" s="11" t="str">
        <f aca="false">IF(INDEX(評価項目対応!$M$6:$M$236,$U230)="","",INDEX(評価項目対応!$M$6:$M$236,$U230))</f>
        <v/>
      </c>
      <c r="S230" s="11" t="str">
        <f aca="false">INDEX(評価項目対応!$H$6:$H$236,$U230)</f>
        <v>Windows固有の要件（PowerShell、LSASS、資格情報保護等）。ChromeOS端末は非該当だが、接続先のAD／Windows環境に適用し得るため既存証跡を確認する。対象外にする場合は理由と承認者を記録する。</v>
      </c>
      <c r="T230" s="11" t="str">
        <f aca="false">TRIM(IF(INDEX(評価項目対応!$K$6:$K$236,$U230)="","","試験ID: "&amp;INDEX(評価項目対応!$K$6:$K$236,$U230)&amp;"　")&amp;IF(INDEX(評価項目対応!$L$6:$L$236,$U230)="","","判断理由: "&amp;INDEX(評価項目対応!$L$6:$L$236,$U230)))</f>
        <v/>
      </c>
      <c r="U230" s="28" t="n">
        <f aca="false">MATCH($A230,評価項目対応!$A$6:$A$236,0)</f>
        <v>224</v>
      </c>
      <c r="V230" s="28" t="str">
        <f aca="false">IFERROR(VLOOKUP(I230,$X$6:$Y$11,2,FALSE()),"")</f>
        <v/>
      </c>
    </row>
    <row r="231" customFormat="false" ht="49.5" hidden="false" customHeight="true" outlineLevel="0" collapsed="false">
      <c r="A231" s="13" t="n">
        <v>227</v>
      </c>
      <c r="B231" s="13" t="n">
        <f aca="false">INDEX(評価項目対応!$B$6:$B$236,$U231)</f>
        <v>182</v>
      </c>
      <c r="C231" s="13" t="str">
        <f aca="false">INDEX(評価項目対応!$F$6:$F$236,$U231)</f>
        <v>5.07a</v>
      </c>
      <c r="D231" s="11" t="str">
        <f aca="false">INDEX(評価項目対応!$D$6:$D$236,$U231)</f>
        <v>重要システム優先対応</v>
      </c>
      <c r="E231" s="11" t="str">
        <f aca="false">INDEX(評価項目対応!$E$6:$E$236,$U231)</f>
        <v>日常業務に不可欠な重要なシステムの分離に優先順位を付ける。</v>
      </c>
      <c r="F231" s="13" t="str">
        <f aca="false">IF($D$4="","",$D$4)</f>
        <v/>
      </c>
      <c r="G231" s="13" t="str">
        <f aca="false">IFERROR(IF(INDEX(評価項目対応!$I$6:$I$236,$U231)="対象","対象",IF(INDEX(評価項目対応!$I$6:$I$236,$U231)="対象外（承認済）","対象外",IF(INDEX(評価項目対応!$I$6:$I$236,$U231)="未確定","n/a",""))),"")</f>
        <v>n/a</v>
      </c>
      <c r="H231" s="25" t="str">
        <f aca="false">IF(ISBLANK(J231),"",IF(J231=5,"Yes",IF(J231=4,"Yes","No")))</f>
        <v/>
      </c>
      <c r="I231" s="18"/>
      <c r="J231" s="26"/>
      <c r="K231" s="18"/>
      <c r="L231" s="18"/>
      <c r="M231" s="11" t="str">
        <f aca="false">IF(INDEX(評価項目対応!$J$6:$J$236,$U231)="","",INDEX(評価項目対応!$J$6:$J$236,$U231))</f>
        <v/>
      </c>
      <c r="N231" s="11" t="str">
        <f aca="false">IF(INDEX(評価項目対応!$N$6:$N$236,$U231)="","",INDEX(評価項目対応!$N$6:$N$236,$U231))</f>
        <v/>
      </c>
      <c r="O231" s="11" t="str">
        <f aca="false">IF(INDEX(評価項目対応!$O$6:$O$236,$U231)="","",INDEX(評価項目対応!$O$6:$O$236,$U231))</f>
        <v/>
      </c>
      <c r="P231" s="27" t="n">
        <f aca="false">COUNTIF(F231:G231,"")+COUNTIF(I231:O231,"")-IF(AND(G231="対象外",K231=""),1,0)</f>
        <v>8</v>
      </c>
      <c r="Q231" s="11" t="str">
        <f aca="false">IF(F231="","会社名コード未設定（D4）",IF(OR(G231="",G231="n/a"),"適用性を確定（評価項目対応I列）",IF(AND(G231="対象外",OR(I231&lt;&gt;"対象外",J231&lt;&gt;"n/a")),"対象外ならR=対象外・S=n/a",IF(AND(G231="対象",OR(I231="対象外",J231="n/a")),"対象なのにR／Sが対象外・n/a",IF(AND(G231="対象",OR(I231="",J231="")),"R・Sを入力",IF(AND(ISNUMBER(J231),ISNUMBER(V231),ABS(N(J231)-N(V231))&gt;=1),"RとSの乖離（案分ならUに明記）",IF(AND(G231="対象",L231=""),"Uに制約・代替策・未検証を記載",IF(AND(G231="対象外",L231=""),"対象外の理由・承認者をUに記載",IF(OR(M231="",N231="",O231=""),"V～Xを入力",IF(P231&gt;0,"未記入あり（P列）","OK"))))))))))</f>
        <v>会社名コード未設定（D4）</v>
      </c>
      <c r="R231" s="11" t="str">
        <f aca="false">IF(INDEX(評価項目対応!$M$6:$M$236,$U231)="","",INDEX(評価項目対応!$M$6:$M$236,$U231))</f>
        <v/>
      </c>
      <c r="S231" s="11" t="str">
        <f aca="false">INDEX(評価項目対応!$H$6:$H$236,$U231)</f>
        <v>既存IR手順・演習記録の該当箇所とChromeOS／クラウドの役割を確認する。新規の全社演習は設けず、不足は責任者へ課題化する。</v>
      </c>
      <c r="T231" s="11" t="str">
        <f aca="false">TRIM(IF(INDEX(評価項目対応!$K$6:$K$236,$U231)="","","試験ID: "&amp;INDEX(評価項目対応!$K$6:$K$236,$U231)&amp;"　")&amp;IF(INDEX(評価項目対応!$L$6:$L$236,$U231)="","","判断理由: "&amp;INDEX(評価項目対応!$L$6:$L$236,$U231)))</f>
        <v/>
      </c>
      <c r="U231" s="28" t="n">
        <f aca="false">MATCH($A231,評価項目対応!$A$6:$A$236,0)</f>
        <v>225</v>
      </c>
      <c r="V231" s="28" t="str">
        <f aca="false">IFERROR(VLOOKUP(I231,$X$6:$Y$11,2,FALSE()),"")</f>
        <v/>
      </c>
    </row>
    <row r="232" customFormat="false" ht="78" hidden="false" customHeight="true" outlineLevel="0" collapsed="false">
      <c r="A232" s="13" t="n">
        <v>228</v>
      </c>
      <c r="B232" s="13" t="n">
        <f aca="false">INDEX(評価項目対応!$B$6:$B$236,$U232)</f>
        <v>217</v>
      </c>
      <c r="C232" s="13" t="str">
        <f aca="false">INDEX(評価項目対応!$F$6:$F$236,$U232)</f>
        <v>5.07a</v>
      </c>
      <c r="D232" s="11" t="str">
        <f aca="false">INDEX(評価項目対応!$D$6:$D$236,$U232)</f>
        <v>初期侵害ポイント特定</v>
      </c>
      <c r="E232" s="11" t="str">
        <f aca="false">INDEX(評価項目対応!$E$6:$E$236,$U232)</f>
        <v>初期侵害に関与したシステムとアカウントを特定する。</v>
      </c>
      <c r="F232" s="13" t="str">
        <f aca="false">IF($D$4="","",$D$4)</f>
        <v/>
      </c>
      <c r="G232" s="13" t="str">
        <f aca="false">IFERROR(IF(INDEX(評価項目対応!$I$6:$I$236,$U232)="対象","対象",IF(INDEX(評価項目対応!$I$6:$I$236,$U232)="対象外（承認済）","対象外",IF(INDEX(評価項目対応!$I$6:$I$236,$U232)="未確定","n/a",""))),"")</f>
        <v>n/a</v>
      </c>
      <c r="H232" s="25" t="str">
        <f aca="false">IF(ISBLANK(J232),"",IF(J232=5,"Yes",IF(J232=4,"Yes","No")))</f>
        <v/>
      </c>
      <c r="I232" s="18"/>
      <c r="J232" s="26"/>
      <c r="K232" s="18"/>
      <c r="L232" s="18"/>
      <c r="M232" s="11" t="str">
        <f aca="false">IF(INDEX(評価項目対応!$J$6:$J$236,$U232)="","",INDEX(評価項目対応!$J$6:$J$236,$U232))</f>
        <v/>
      </c>
      <c r="N232" s="11" t="str">
        <f aca="false">IF(INDEX(評価項目対応!$N$6:$N$236,$U232)="","",INDEX(評価項目対応!$N$6:$N$236,$U232))</f>
        <v/>
      </c>
      <c r="O232" s="11" t="str">
        <f aca="false">IF(INDEX(評価項目対応!$O$6:$O$236,$U232)="","",INDEX(評価項目対応!$O$6:$O$236,$U232))</f>
        <v/>
      </c>
      <c r="P232" s="27" t="n">
        <f aca="false">COUNTIF(F232:G232,"")+COUNTIF(I232:O232,"")-IF(AND(G232="対象外",K232=""),1,0)</f>
        <v>8</v>
      </c>
      <c r="Q232" s="11" t="str">
        <f aca="false">IF(F232="","会社名コード未設定（D4）",IF(OR(G232="",G232="n/a"),"適用性を確定（評価項目対応I列）",IF(AND(G232="対象外",OR(I232&lt;&gt;"対象外",J232&lt;&gt;"n/a")),"対象外ならR=対象外・S=n/a",IF(AND(G232="対象",OR(I232="対象外",J232="n/a")),"対象なのにR／Sが対象外・n/a",IF(AND(G232="対象",OR(I232="",J232="")),"R・Sを入力",IF(AND(ISNUMBER(J232),ISNUMBER(V232),ABS(N(J232)-N(V232))&gt;=1),"RとSの乖離（案分ならUに明記）",IF(AND(G232="対象",L232=""),"Uに制約・代替策・未検証を記載",IF(AND(G232="対象外",L232=""),"対象外の理由・承認者をUに記載",IF(OR(M232="",N232="",O232=""),"V～Xを入力",IF(P232&gt;0,"未記入あり（P列）","OK"))))))))))</f>
        <v>会社名コード未設定（D4）</v>
      </c>
      <c r="R232" s="11" t="str">
        <f aca="false">IF(INDEX(評価項目対応!$M$6:$M$236,$U232)="","",INDEX(評価項目対応!$M$6:$M$236,$U232))</f>
        <v>5.07b</v>
      </c>
      <c r="S232" s="11" t="str">
        <f aca="false">INDEX(評価項目対応!$H$6:$H$236,$U232)</f>
        <v>既存IR手順・演習記録の該当箇所とChromeOS／クラウドの役割を確認する。新規の全社演習は設けず、不足は責任者へ課題化する。 Chromebook固有の手順（端末無効化・アカウント停止・証跡保全）は5.07b（11/4）で確認する。</v>
      </c>
      <c r="T232" s="11" t="str">
        <f aca="false">TRIM(IF(INDEX(評価項目対応!$K$6:$K$236,$U232)="","","試験ID: "&amp;INDEX(評価項目対応!$K$6:$K$236,$U232)&amp;"　")&amp;IF(INDEX(評価項目対応!$L$6:$L$236,$U232)="","","判断理由: "&amp;INDEX(評価項目対応!$L$6:$L$236,$U232)))</f>
        <v/>
      </c>
      <c r="U232" s="28" t="n">
        <f aca="false">MATCH($A232,評価項目対応!$A$6:$A$236,0)</f>
        <v>226</v>
      </c>
      <c r="V232" s="28" t="str">
        <f aca="false">IFERROR(VLOOKUP(I232,$X$6:$Y$11,2,FALSE()),"")</f>
        <v/>
      </c>
    </row>
    <row r="233" customFormat="false" ht="49.5" hidden="false" customHeight="true" outlineLevel="0" collapsed="false">
      <c r="A233" s="13" t="n">
        <v>229</v>
      </c>
      <c r="B233" s="13" t="n">
        <f aca="false">INDEX(評価項目対応!$B$6:$B$236,$U233)</f>
        <v>193</v>
      </c>
      <c r="C233" s="13" t="str">
        <f aca="false">INDEX(評価項目対応!$F$6:$F$236,$U233)</f>
        <v>5.07a</v>
      </c>
      <c r="D233" s="11" t="str">
        <f aca="false">INDEX(評価項目対応!$D$6:$D$236,$U233)</f>
        <v>初期分析</v>
      </c>
      <c r="E233" s="11" t="str">
        <f aca="false">INDEX(評価項目対応!$E$6:$E$236,$U233)</f>
        <v>チームと協議して、初期分析に基づいて何が起こったかについての初期の
理解を策定し、文書化する。</v>
      </c>
      <c r="F233" s="13" t="str">
        <f aca="false">IF($D$4="","",$D$4)</f>
        <v/>
      </c>
      <c r="G233" s="13" t="str">
        <f aca="false">IFERROR(IF(INDEX(評価項目対応!$I$6:$I$236,$U233)="対象","対象",IF(INDEX(評価項目対応!$I$6:$I$236,$U233)="対象外（承認済）","対象外",IF(INDEX(評価項目対応!$I$6:$I$236,$U233)="未確定","n/a",""))),"")</f>
        <v>n/a</v>
      </c>
      <c r="H233" s="25" t="str">
        <f aca="false">IF(ISBLANK(J233),"",IF(J233=5,"Yes",IF(J233=4,"Yes","No")))</f>
        <v/>
      </c>
      <c r="I233" s="18"/>
      <c r="J233" s="26"/>
      <c r="K233" s="18"/>
      <c r="L233" s="18"/>
      <c r="M233" s="11" t="str">
        <f aca="false">IF(INDEX(評価項目対応!$J$6:$J$236,$U233)="","",INDEX(評価項目対応!$J$6:$J$236,$U233))</f>
        <v/>
      </c>
      <c r="N233" s="11" t="str">
        <f aca="false">IF(INDEX(評価項目対応!$N$6:$N$236,$U233)="","",INDEX(評価項目対応!$N$6:$N$236,$U233))</f>
        <v/>
      </c>
      <c r="O233" s="11" t="str">
        <f aca="false">IF(INDEX(評価項目対応!$O$6:$O$236,$U233)="","",INDEX(評価項目対応!$O$6:$O$236,$U233))</f>
        <v/>
      </c>
      <c r="P233" s="27" t="n">
        <f aca="false">COUNTIF(F233:G233,"")+COUNTIF(I233:O233,"")-IF(AND(G233="対象外",K233=""),1,0)</f>
        <v>8</v>
      </c>
      <c r="Q233" s="11" t="str">
        <f aca="false">IF(F233="","会社名コード未設定（D4）",IF(OR(G233="",G233="n/a"),"適用性を確定（評価項目対応I列）",IF(AND(G233="対象外",OR(I233&lt;&gt;"対象外",J233&lt;&gt;"n/a")),"対象外ならR=対象外・S=n/a",IF(AND(G233="対象",OR(I233="対象外",J233="n/a")),"対象なのにR／Sが対象外・n/a",IF(AND(G233="対象",OR(I233="",J233="")),"R・Sを入力",IF(AND(ISNUMBER(J233),ISNUMBER(V233),ABS(N(J233)-N(V233))&gt;=1),"RとSの乖離（案分ならUに明記）",IF(AND(G233="対象",L233=""),"Uに制約・代替策・未検証を記載",IF(AND(G233="対象外",L233=""),"対象外の理由・承認者をUに記載",IF(OR(M233="",N233="",O233=""),"V～Xを入力",IF(P233&gt;0,"未記入あり（P列）","OK"))))))))))</f>
        <v>会社名コード未設定（D4）</v>
      </c>
      <c r="R233" s="11" t="str">
        <f aca="false">IF(INDEX(評価項目対応!$M$6:$M$236,$U233)="","",INDEX(評価項目対応!$M$6:$M$236,$U233))</f>
        <v/>
      </c>
      <c r="S233" s="11" t="str">
        <f aca="false">INDEX(評価項目対応!$H$6:$H$236,$U233)</f>
        <v>既存IR手順・演習記録の該当箇所とChromeOS／クラウドの役割を確認する。新規の全社演習は設けず、不足は責任者へ課題化する。</v>
      </c>
      <c r="T233" s="11" t="str">
        <f aca="false">TRIM(IF(INDEX(評価項目対応!$K$6:$K$236,$U233)="","","試験ID: "&amp;INDEX(評価項目対応!$K$6:$K$236,$U233)&amp;"　")&amp;IF(INDEX(評価項目対応!$L$6:$L$236,$U233)="","","判断理由: "&amp;INDEX(評価項目対応!$L$6:$L$236,$U233)))</f>
        <v/>
      </c>
      <c r="U233" s="28" t="n">
        <f aca="false">MATCH($A233,評価項目対応!$A$6:$A$236,0)</f>
        <v>227</v>
      </c>
      <c r="V233" s="28" t="str">
        <f aca="false">IFERROR(VLOOKUP(I233,$X$6:$Y$11,2,FALSE()),"")</f>
        <v/>
      </c>
    </row>
    <row r="234" customFormat="false" ht="78" hidden="false" customHeight="true" outlineLevel="0" collapsed="false">
      <c r="A234" s="13" t="n">
        <v>230</v>
      </c>
      <c r="B234" s="13" t="n">
        <f aca="false">INDEX(評価項目対応!$B$6:$B$236,$U234)</f>
        <v>186</v>
      </c>
      <c r="C234" s="13" t="str">
        <f aca="false">INDEX(評価項目対応!$F$6:$F$236,$U234)</f>
        <v>5.07a</v>
      </c>
      <c r="D234" s="11" t="str">
        <f aca="false">INDEX(評価項目対応!$D$6:$D$236,$U234)</f>
        <v>電源断</v>
      </c>
      <c r="E234" s="11" t="str">
        <f aca="false">INDEX(評価項目対応!$E$6:$E$236,$U234)</f>
        <v>デバイスをネットワークから切断できない場合は、ランサムウェア感染の
さらなる拡散を避けるために電源を切る。</v>
      </c>
      <c r="F234" s="13" t="str">
        <f aca="false">IF($D$4="","",$D$4)</f>
        <v/>
      </c>
      <c r="G234" s="13" t="str">
        <f aca="false">IFERROR(IF(INDEX(評価項目対応!$I$6:$I$236,$U234)="対象","対象",IF(INDEX(評価項目対応!$I$6:$I$236,$U234)="対象外（承認済）","対象外",IF(INDEX(評価項目対応!$I$6:$I$236,$U234)="未確定","n/a",""))),"")</f>
        <v>n/a</v>
      </c>
      <c r="H234" s="25" t="str">
        <f aca="false">IF(ISBLANK(J234),"",IF(J234=5,"Yes",IF(J234=4,"Yes","No")))</f>
        <v/>
      </c>
      <c r="I234" s="18"/>
      <c r="J234" s="26"/>
      <c r="K234" s="18"/>
      <c r="L234" s="18"/>
      <c r="M234" s="11" t="str">
        <f aca="false">IF(INDEX(評価項目対応!$J$6:$J$236,$U234)="","",INDEX(評価項目対応!$J$6:$J$236,$U234))</f>
        <v/>
      </c>
      <c r="N234" s="11" t="str">
        <f aca="false">IF(INDEX(評価項目対応!$N$6:$N$236,$U234)="","",INDEX(評価項目対応!$N$6:$N$236,$U234))</f>
        <v/>
      </c>
      <c r="O234" s="11" t="str">
        <f aca="false">IF(INDEX(評価項目対応!$O$6:$O$236,$U234)="","",INDEX(評価項目対応!$O$6:$O$236,$U234))</f>
        <v/>
      </c>
      <c r="P234" s="27" t="n">
        <f aca="false">COUNTIF(F234:G234,"")+COUNTIF(I234:O234,"")-IF(AND(G234="対象外",K234=""),1,0)</f>
        <v>8</v>
      </c>
      <c r="Q234" s="11" t="str">
        <f aca="false">IF(F234="","会社名コード未設定（D4）",IF(OR(G234="",G234="n/a"),"適用性を確定（評価項目対応I列）",IF(AND(G234="対象外",OR(I234&lt;&gt;"対象外",J234&lt;&gt;"n/a")),"対象外ならR=対象外・S=n/a",IF(AND(G234="対象",OR(I234="対象外",J234="n/a")),"対象なのにR／Sが対象外・n/a",IF(AND(G234="対象",OR(I234="",J234="")),"R・Sを入力",IF(AND(ISNUMBER(J234),ISNUMBER(V234),ABS(N(J234)-N(V234))&gt;=1),"RとSの乖離（案分ならUに明記）",IF(AND(G234="対象",L234=""),"Uに制約・代替策・未検証を記載",IF(AND(G234="対象外",L234=""),"対象外の理由・承認者をUに記載",IF(OR(M234="",N234="",O234=""),"V～Xを入力",IF(P234&gt;0,"未記入あり（P列）","OK"))))))))))</f>
        <v>会社名コード未設定（D4）</v>
      </c>
      <c r="R234" s="11" t="str">
        <f aca="false">IF(INDEX(評価項目対応!$M$6:$M$236,$U234)="","",INDEX(評価項目対応!$M$6:$M$236,$U234))</f>
        <v>5.07b</v>
      </c>
      <c r="S234" s="11" t="str">
        <f aca="false">INDEX(評価項目対応!$H$6:$H$236,$U234)</f>
        <v>既存IR手順・演習記録の該当箇所とChromeOS／クラウドの役割を確認する。新規の全社演習は設けず、不足は責任者へ課題化する。 Chromebook固有の手順（端末無効化・アカウント停止・証跡保全）は5.07b（11/4）で確認する。</v>
      </c>
      <c r="T234" s="11" t="str">
        <f aca="false">TRIM(IF(INDEX(評価項目対応!$K$6:$K$236,$U234)="","","試験ID: "&amp;INDEX(評価項目対応!$K$6:$K$236,$U234)&amp;"　")&amp;IF(INDEX(評価項目対応!$L$6:$L$236,$U234)="","","判断理由: "&amp;INDEX(評価項目対応!$L$6:$L$236,$U234)))</f>
        <v/>
      </c>
      <c r="U234" s="28" t="n">
        <f aca="false">MATCH($A234,評価項目対応!$A$6:$A$236,0)</f>
        <v>228</v>
      </c>
      <c r="V234" s="28" t="str">
        <f aca="false">IFERROR(VLOOKUP(I234,$X$6:$Y$11,2,FALSE()),"")</f>
        <v/>
      </c>
    </row>
    <row r="235" customFormat="false" ht="49.5" hidden="false" customHeight="true" outlineLevel="0" collapsed="false">
      <c r="A235" s="13" t="n">
        <v>231</v>
      </c>
      <c r="B235" s="13" t="n">
        <f aca="false">INDEX(評価項目対応!$B$6:$B$236,$U235)</f>
        <v>204</v>
      </c>
      <c r="C235" s="13" t="str">
        <f aca="false">INDEX(評価項目対応!$F$6:$F$236,$U235)</f>
        <v>5.07a</v>
      </c>
      <c r="D235" s="11" t="str">
        <f aca="false">INDEX(評価項目対応!$D$6:$D$236,$U235)</f>
        <v>内部通信調査</v>
      </c>
      <c r="E235" s="11" t="str">
        <f aca="false">INDEX(評価項目対応!$E$6:$E$236,$U235)</f>
        <v>予期しないエンドポイント間通信の兆候を確認する。</v>
      </c>
      <c r="F235" s="13" t="str">
        <f aca="false">IF($D$4="","",$D$4)</f>
        <v/>
      </c>
      <c r="G235" s="13" t="str">
        <f aca="false">IFERROR(IF(INDEX(評価項目対応!$I$6:$I$236,$U235)="対象","対象",IF(INDEX(評価項目対応!$I$6:$I$236,$U235)="対象外（承認済）","対象外",IF(INDEX(評価項目対応!$I$6:$I$236,$U235)="未確定","n/a",""))),"")</f>
        <v>n/a</v>
      </c>
      <c r="H235" s="25" t="str">
        <f aca="false">IF(ISBLANK(J235),"",IF(J235=5,"Yes",IF(J235=4,"Yes","No")))</f>
        <v/>
      </c>
      <c r="I235" s="18"/>
      <c r="J235" s="26"/>
      <c r="K235" s="18"/>
      <c r="L235" s="18"/>
      <c r="M235" s="11" t="str">
        <f aca="false">IF(INDEX(評価項目対応!$J$6:$J$236,$U235)="","",INDEX(評価項目対応!$J$6:$J$236,$U235))</f>
        <v/>
      </c>
      <c r="N235" s="11" t="str">
        <f aca="false">IF(INDEX(評価項目対応!$N$6:$N$236,$U235)="","",INDEX(評価項目対応!$N$6:$N$236,$U235))</f>
        <v/>
      </c>
      <c r="O235" s="11" t="str">
        <f aca="false">IF(INDEX(評価項目対応!$O$6:$O$236,$U235)="","",INDEX(評価項目対応!$O$6:$O$236,$U235))</f>
        <v/>
      </c>
      <c r="P235" s="27" t="n">
        <f aca="false">COUNTIF(F235:G235,"")+COUNTIF(I235:O235,"")-IF(AND(G235="対象外",K235=""),1,0)</f>
        <v>8</v>
      </c>
      <c r="Q235" s="11" t="str">
        <f aca="false">IF(F235="","会社名コード未設定（D4）",IF(OR(G235="",G235="n/a"),"適用性を確定（評価項目対応I列）",IF(AND(G235="対象外",OR(I235&lt;&gt;"対象外",J235&lt;&gt;"n/a")),"対象外ならR=対象外・S=n/a",IF(AND(G235="対象",OR(I235="対象外",J235="n/a")),"対象なのにR／Sが対象外・n/a",IF(AND(G235="対象",OR(I235="",J235="")),"R・Sを入力",IF(AND(ISNUMBER(J235),ISNUMBER(V235),ABS(N(J235)-N(V235))&gt;=1),"RとSの乖離（案分ならUに明記）",IF(AND(G235="対象",L235=""),"Uに制約・代替策・未検証を記載",IF(AND(G235="対象外",L235=""),"対象外の理由・承認者をUに記載",IF(OR(M235="",N235="",O235=""),"V～Xを入力",IF(P235&gt;0,"未記入あり（P列）","OK"))))))))))</f>
        <v>会社名コード未設定（D4）</v>
      </c>
      <c r="R235" s="11" t="str">
        <f aca="false">IF(INDEX(評価項目対応!$M$6:$M$236,$U235)="","",INDEX(評価項目対応!$M$6:$M$236,$U235))</f>
        <v/>
      </c>
      <c r="S235" s="11" t="str">
        <f aca="false">INDEX(評価項目対応!$H$6:$H$236,$U235)</f>
        <v>既存IR手順・演習記録の該当箇所とChromeOS／クラウドの役割を確認する。新規の全社演習は設けず、不足は責任者へ課題化する。</v>
      </c>
      <c r="T235" s="11" t="str">
        <f aca="false">TRIM(IF(INDEX(評価項目対応!$K$6:$K$236,$U235)="","","試験ID: "&amp;INDEX(評価項目対応!$K$6:$K$236,$U235)&amp;"　")&amp;IF(INDEX(評価項目対応!$L$6:$L$236,$U235)="","","判断理由: "&amp;INDEX(評価項目対応!$L$6:$L$236,$U235)))</f>
        <v/>
      </c>
      <c r="U235" s="28" t="n">
        <f aca="false">MATCH($A235,評価項目対応!$A$6:$A$236,0)</f>
        <v>229</v>
      </c>
      <c r="V235" s="28" t="str">
        <f aca="false">IFERROR(VLOOKUP(I235,$X$6:$Y$11,2,FALSE()),"")</f>
        <v/>
      </c>
    </row>
    <row r="236" customFormat="false" ht="63.75" hidden="false" customHeight="true" outlineLevel="0" collapsed="false">
      <c r="A236" s="13" t="n">
        <v>232</v>
      </c>
      <c r="B236" s="13" t="n">
        <f aca="false">INDEX(評価項目対応!$B$6:$B$236,$U236)</f>
        <v>224</v>
      </c>
      <c r="C236" s="13" t="str">
        <f aca="false">INDEX(評価項目対応!$F$6:$F$236,$U236)</f>
        <v>4.04d</v>
      </c>
      <c r="D236" s="11" t="str">
        <f aca="false">INDEX(評価項目対応!$D$6:$D$236,$U236)</f>
        <v>認証イベントログ調査</v>
      </c>
      <c r="E236" s="11" t="str">
        <f aca="false">INDEX(評価項目対応!$E$6:$E$236,$U236)</f>
        <v>重要な認証またはアクセスイベントを特定するために、Windowsセキュリ
ティログ、SMBイベントログ、および関連するログを確認する。</v>
      </c>
      <c r="F236" s="13" t="str">
        <f aca="false">IF($D$4="","",$D$4)</f>
        <v/>
      </c>
      <c r="G236" s="13" t="str">
        <f aca="false">IFERROR(IF(INDEX(評価項目対応!$I$6:$I$236,$U236)="対象","対象",IF(INDEX(評価項目対応!$I$6:$I$236,$U236)="対象外（承認済）","対象外",IF(INDEX(評価項目対応!$I$6:$I$236,$U236)="未確定","n/a",""))),"")</f>
        <v>n/a</v>
      </c>
      <c r="H236" s="25" t="str">
        <f aca="false">IF(ISBLANK(J236),"",IF(J236=5,"Yes",IF(J236=4,"Yes","No")))</f>
        <v/>
      </c>
      <c r="I236" s="18"/>
      <c r="J236" s="26"/>
      <c r="K236" s="18"/>
      <c r="L236" s="18"/>
      <c r="M236" s="11" t="str">
        <f aca="false">IF(INDEX(評価項目対応!$J$6:$J$236,$U236)="","",INDEX(評価項目対応!$J$6:$J$236,$U236))</f>
        <v/>
      </c>
      <c r="N236" s="11" t="str">
        <f aca="false">IF(INDEX(評価項目対応!$N$6:$N$236,$U236)="","",INDEX(評価項目対応!$N$6:$N$236,$U236))</f>
        <v/>
      </c>
      <c r="O236" s="11" t="str">
        <f aca="false">IF(INDEX(評価項目対応!$O$6:$O$236,$U236)="","",INDEX(評価項目対応!$O$6:$O$236,$U236))</f>
        <v/>
      </c>
      <c r="P236" s="27" t="n">
        <f aca="false">COUNTIF(F236:G236,"")+COUNTIF(I236:O236,"")-IF(AND(G236="対象外",K236=""),1,0)</f>
        <v>8</v>
      </c>
      <c r="Q236" s="11" t="str">
        <f aca="false">IF(F236="","会社名コード未設定（D4）",IF(OR(G236="",G236="n/a"),"適用性を確定（評価項目対応I列）",IF(AND(G236="対象外",OR(I236&lt;&gt;"対象外",J236&lt;&gt;"n/a")),"対象外ならR=対象外・S=n/a",IF(AND(G236="対象",OR(I236="対象外",J236="n/a")),"対象なのにR／Sが対象外・n/a",IF(AND(G236="対象",OR(I236="",J236="")),"R・Sを入力",IF(AND(ISNUMBER(J236),ISNUMBER(V236),ABS(N(J236)-N(V236))&gt;=1),"RとSの乖離（案分ならUに明記）",IF(AND(G236="対象",L236=""),"Uに制約・代替策・未検証を記載",IF(AND(G236="対象外",L236=""),"対象外の理由・承認者をUに記載",IF(OR(M236="",N236="",O236=""),"V～Xを入力",IF(P236&gt;0,"未記入あり（P列）","OK"))))))))))</f>
        <v>会社名コード未設定（D4）</v>
      </c>
      <c r="R236" s="11" t="str">
        <f aca="false">IF(INDEX(評価項目対応!$M$6:$M$236,$U236)="","",INDEX(評価項目対応!$M$6:$M$236,$U236))</f>
        <v/>
      </c>
      <c r="S236" s="11" t="str">
        <f aca="false">INDEX(評価項目対応!$H$6:$H$236,$U236)</f>
        <v>仮想化基盤、アプリ制御、アンチマルウェア運用、ツール使用調査、認証ログの既存証跡を担当者から受領し、ChromeOSで変わる点のみ補足する。</v>
      </c>
      <c r="T236" s="11" t="str">
        <f aca="false">TRIM(IF(INDEX(評価項目対応!$K$6:$K$236,$U236)="","","試験ID: "&amp;INDEX(評価項目対応!$K$6:$K$236,$U236)&amp;"　")&amp;IF(INDEX(評価項目対応!$L$6:$L$236,$U236)="","","判断理由: "&amp;INDEX(評価項目対応!$L$6:$L$236,$U236)))</f>
        <v/>
      </c>
      <c r="U236" s="28" t="n">
        <f aca="false">MATCH($A236,評価項目対応!$A$6:$A$236,0)</f>
        <v>230</v>
      </c>
      <c r="V236" s="28" t="str">
        <f aca="false">IFERROR(VLOOKUP(I236,$X$6:$Y$11,2,FALSE()),"")</f>
        <v/>
      </c>
    </row>
    <row r="237" customFormat="false" ht="91.5" hidden="false" customHeight="true" outlineLevel="0" collapsed="false">
      <c r="A237" s="13" t="n">
        <v>233</v>
      </c>
      <c r="B237" s="13" t="n">
        <f aca="false">INDEX(評価項目対応!$B$6:$B$236,$U237)</f>
        <v>188</v>
      </c>
      <c r="C237" s="13" t="str">
        <f aca="false">INDEX(評価項目対応!$F$6:$F$236,$U237)</f>
        <v>5.02</v>
      </c>
      <c r="D237" s="11" t="str">
        <f aca="false">INDEX(評価項目対応!$D$6:$D$236,$U237)</f>
        <v>復旧優先度</v>
      </c>
      <c r="E237" s="11" t="str">
        <f aca="false">INDEX(評価項目対応!$E$6:$E$236,$U237)</f>
        <v>健康と安全、収益創出、またはその他の重要なサービスにとって重要な情
報システム、およびそれらが依存しているシステムを含む、事前に定義さ
れた重要な資産リストに基づいて、復元と回復に優先順位を付ける。</v>
      </c>
      <c r="F237" s="13" t="str">
        <f aca="false">IF($D$4="","",$D$4)</f>
        <v/>
      </c>
      <c r="G237" s="13" t="str">
        <f aca="false">IFERROR(IF(INDEX(評価項目対応!$I$6:$I$236,$U237)="対象","対象",IF(INDEX(評価項目対応!$I$6:$I$236,$U237)="対象外（承認済）","対象外",IF(INDEX(評価項目対応!$I$6:$I$236,$U237)="未確定","n/a",""))),"")</f>
        <v>n/a</v>
      </c>
      <c r="H237" s="25" t="str">
        <f aca="false">IF(ISBLANK(J237),"",IF(J237=5,"Yes",IF(J237=4,"Yes","No")))</f>
        <v/>
      </c>
      <c r="I237" s="18"/>
      <c r="J237" s="26"/>
      <c r="K237" s="18"/>
      <c r="L237" s="18"/>
      <c r="M237" s="11" t="str">
        <f aca="false">IF(INDEX(評価項目対応!$J$6:$J$236,$U237)="","",INDEX(評価項目対応!$J$6:$J$236,$U237))</f>
        <v/>
      </c>
      <c r="N237" s="11" t="str">
        <f aca="false">IF(INDEX(評価項目対応!$N$6:$N$236,$U237)="","",INDEX(評価項目対応!$N$6:$N$236,$U237))</f>
        <v/>
      </c>
      <c r="O237" s="11" t="str">
        <f aca="false">IF(INDEX(評価項目対応!$O$6:$O$236,$U237)="","",INDEX(評価項目対応!$O$6:$O$236,$U237))</f>
        <v/>
      </c>
      <c r="P237" s="27" t="n">
        <f aca="false">COUNTIF(F237:G237,"")+COUNTIF(I237:O237,"")-IF(AND(G237="対象外",K237=""),1,0)</f>
        <v>8</v>
      </c>
      <c r="Q237" s="11" t="str">
        <f aca="false">IF(F237="","会社名コード未設定（D4）",IF(OR(G237="",G237="n/a"),"適用性を確定（評価項目対応I列）",IF(AND(G237="対象外",OR(I237&lt;&gt;"対象外",J237&lt;&gt;"n/a")),"対象外ならR=対象外・S=n/a",IF(AND(G237="対象",OR(I237="対象外",J237="n/a")),"対象なのにR／Sが対象外・n/a",IF(AND(G237="対象",OR(I237="",J237="")),"R・Sを入力",IF(AND(ISNUMBER(J237),ISNUMBER(V237),ABS(N(J237)-N(V237))&gt;=1),"RとSの乖離（案分ならUに明記）",IF(AND(G237="対象",L237=""),"Uに制約・代替策・未検証を記載",IF(AND(G237="対象外",L237=""),"対象外の理由・承認者をUに記載",IF(OR(M237="",N237="",O237=""),"V～Xを入力",IF(P237&gt;0,"未記入あり（P列）","OK"))))))))))</f>
        <v>会社名コード未設定（D4）</v>
      </c>
      <c r="R237" s="11" t="str">
        <f aca="false">IF(INDEX(評価項目対応!$M$6:$M$236,$U237)="","",INDEX(評価項目対応!$M$6:$M$236,$U237))</f>
        <v/>
      </c>
      <c r="S237" s="11" t="str">
        <f aca="false">INDEX(評価項目対応!$H$6:$H$236,$U237)</f>
        <v>5.01の既存復元証跡を先に評価する。証跡不足または保護方式・保存先変更時のみデータ管理担当が追加復元試験を実施する。</v>
      </c>
      <c r="T237" s="11" t="str">
        <f aca="false">TRIM(IF(INDEX(評価項目対応!$K$6:$K$236,$U237)="","","試験ID: "&amp;INDEX(評価項目対応!$K$6:$K$236,$U237)&amp;"　")&amp;IF(INDEX(評価項目対応!$L$6:$L$236,$U237)="","","判断理由: "&amp;INDEX(評価項目対応!$L$6:$L$236,$U237)))</f>
        <v/>
      </c>
      <c r="U237" s="28" t="n">
        <f aca="false">MATCH($A237,評価項目対応!$A$6:$A$236,0)</f>
        <v>231</v>
      </c>
      <c r="V237" s="28" t="str">
        <f aca="false">IFERROR(VLOOKUP(I237,$X$6:$Y$11,2,FALSE()),"")</f>
        <v/>
      </c>
    </row>
  </sheetData>
  <autoFilter ref="A5:V237"/>
  <mergeCells count="1">
    <mergeCell ref="A3:Q3"/>
  </mergeCells>
  <conditionalFormatting sqref="Q7:Q237">
    <cfRule type="expression" priority="2" aboveAverage="0" equalAverage="0" bottom="0" percent="0" rank="0" text="" dxfId="15">
      <formula>AND($Q7&lt;&gt;"",$Q7&lt;&gt;"OK")</formula>
    </cfRule>
    <cfRule type="expression" priority="3" aboveAverage="0" equalAverage="0" bottom="0" percent="0" rank="0" text="" dxfId="16">
      <formula>$Q7="OK"</formula>
    </cfRule>
  </conditionalFormatting>
  <conditionalFormatting sqref="P7:P237">
    <cfRule type="cellIs" priority="4" operator="greaterThan" aboveAverage="0" equalAverage="0" bottom="0" percent="0" rank="0" text="" dxfId="17">
      <formula>0</formula>
    </cfRule>
  </conditionalFormatting>
  <dataValidations count="3">
    <dataValidation allowBlank="true" errorStyle="stop" operator="between" showDropDown="false" showErrorMessage="false" showInputMessage="false" sqref="D4" type="list">
      <formula1>"ADS,AHS,AIS,API,ASI,TSN,AVJ,HH"</formula1>
      <formula2>0</formula2>
    </dataValidation>
    <dataValidation allowBlank="true" errorStyle="stop" operator="between" showDropDown="false" showErrorMessage="false" showInputMessage="false" sqref="I7:I237" type="list">
      <formula1>$X$6:$X$11</formula1>
      <formula2>0</formula2>
    </dataValidation>
    <dataValidation allowBlank="true" error="1～5の数値（案分は小数可）または n/a を入力してください。" errorStyle="stop" errorTitle="成熟度スコア" operator="between" showDropDown="false" showErrorMessage="true" showInputMessage="false" sqref="J7:J237" type="custom">
      <formula1>OR(AND(ISNUMBER(J7),J7&gt;=1,J7&lt;=5),J7="n/a")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6" activeCellId="0" sqref="B6"/>
    </sheetView>
  </sheetViews>
  <sheetFormatPr defaultColWidth="8.83203125" defaultRowHeight="13.5" zeroHeight="false" outlineLevelRow="0" outlineLevelCol="0"/>
  <cols>
    <col collapsed="false" customWidth="true" hidden="false" outlineLevel="0" max="1" min="1" style="0" width="12"/>
    <col collapsed="false" customWidth="true" hidden="false" outlineLevel="0" max="2" min="2" style="0" width="47"/>
    <col collapsed="false" customWidth="true" hidden="false" outlineLevel="0" max="3" min="3" style="0" width="100"/>
    <col collapsed="false" customWidth="true" hidden="false" outlineLevel="0" max="4" min="4" style="0" width="91"/>
    <col collapsed="false" customWidth="true" hidden="false" outlineLevel="0" max="5" min="5" style="0" width="15"/>
  </cols>
  <sheetData>
    <row r="1" customFormat="false" ht="13.5" hidden="false" customHeight="false" outlineLevel="0" collapsed="false">
      <c r="A1" s="1"/>
      <c r="B1" s="1"/>
      <c r="C1" s="1"/>
      <c r="D1" s="1"/>
      <c r="E1" s="1"/>
    </row>
    <row r="2" customFormat="false" ht="21" hidden="false" customHeight="true" outlineLevel="0" collapsed="false">
      <c r="A2" s="2" t="s">
        <v>1000</v>
      </c>
      <c r="B2" s="1"/>
      <c r="C2" s="1"/>
      <c r="D2" s="1"/>
      <c r="E2" s="1"/>
    </row>
    <row r="3" customFormat="false" ht="15.65" hidden="false" customHeight="false" outlineLevel="0" collapsed="false">
      <c r="A3" s="1" t="s">
        <v>1001</v>
      </c>
      <c r="B3" s="1"/>
      <c r="C3" s="1"/>
      <c r="D3" s="1"/>
      <c r="E3" s="1"/>
    </row>
    <row r="4" customFormat="false" ht="13.5" hidden="false" customHeight="false" outlineLevel="0" collapsed="false">
      <c r="A4" s="1"/>
      <c r="B4" s="1"/>
      <c r="C4" s="1"/>
      <c r="D4" s="1"/>
      <c r="E4" s="1"/>
    </row>
    <row r="5" customFormat="false" ht="33.75" hidden="false" customHeight="true" outlineLevel="0" collapsed="false">
      <c r="A5" s="4" t="s">
        <v>1002</v>
      </c>
      <c r="B5" s="4" t="s">
        <v>1003</v>
      </c>
      <c r="C5" s="4" t="s">
        <v>1004</v>
      </c>
      <c r="D5" s="4" t="s">
        <v>1005</v>
      </c>
      <c r="E5" s="4" t="s">
        <v>1006</v>
      </c>
    </row>
    <row r="6" customFormat="false" ht="30" hidden="false" customHeight="true" outlineLevel="0" collapsed="false">
      <c r="A6" s="6" t="s">
        <v>1007</v>
      </c>
      <c r="B6" s="6" t="s">
        <v>1008</v>
      </c>
      <c r="C6" s="6" t="s">
        <v>1009</v>
      </c>
      <c r="D6" s="6"/>
      <c r="E6" s="6"/>
    </row>
    <row r="7" customFormat="false" ht="36" hidden="false" customHeight="true" outlineLevel="0" collapsed="false">
      <c r="A7" s="6" t="s">
        <v>1010</v>
      </c>
      <c r="B7" s="6" t="s">
        <v>1011</v>
      </c>
      <c r="C7" s="6" t="s">
        <v>1012</v>
      </c>
      <c r="D7" s="6"/>
      <c r="E7" s="6"/>
    </row>
    <row r="8" customFormat="false" ht="36" hidden="false" customHeight="true" outlineLevel="0" collapsed="false">
      <c r="A8" s="6" t="s">
        <v>1013</v>
      </c>
      <c r="B8" s="6" t="s">
        <v>1014</v>
      </c>
      <c r="C8" s="6" t="s">
        <v>1015</v>
      </c>
      <c r="D8" s="6"/>
      <c r="E8" s="6"/>
    </row>
    <row r="9" customFormat="false" ht="49.5" hidden="false" customHeight="true" outlineLevel="0" collapsed="false">
      <c r="A9" s="6" t="s">
        <v>1016</v>
      </c>
      <c r="B9" s="6" t="s">
        <v>1017</v>
      </c>
      <c r="C9" s="6" t="s">
        <v>1018</v>
      </c>
      <c r="D9" s="6"/>
      <c r="E9" s="6"/>
    </row>
    <row r="10" customFormat="false" ht="36" hidden="false" customHeight="true" outlineLevel="0" collapsed="false">
      <c r="A10" s="6" t="s">
        <v>1019</v>
      </c>
      <c r="B10" s="6" t="s">
        <v>1020</v>
      </c>
      <c r="C10" s="6" t="s">
        <v>1021</v>
      </c>
      <c r="D10" s="6"/>
      <c r="E10" s="6"/>
    </row>
    <row r="11" customFormat="false" ht="30" hidden="false" customHeight="true" outlineLevel="0" collapsed="false">
      <c r="A11" s="6" t="s">
        <v>1022</v>
      </c>
      <c r="B11" s="6" t="s">
        <v>1023</v>
      </c>
      <c r="C11" s="6" t="s">
        <v>1024</v>
      </c>
      <c r="D11" s="6"/>
      <c r="E11" s="6"/>
    </row>
    <row r="12" customFormat="false" ht="30" hidden="false" customHeight="true" outlineLevel="0" collapsed="false">
      <c r="A12" s="6" t="s">
        <v>1025</v>
      </c>
      <c r="B12" s="6" t="s">
        <v>1026</v>
      </c>
      <c r="C12" s="6" t="s">
        <v>1027</v>
      </c>
      <c r="D12" s="6"/>
      <c r="E12" s="6"/>
    </row>
    <row r="13" customFormat="false" ht="36" hidden="false" customHeight="true" outlineLevel="0" collapsed="false">
      <c r="A13" s="6" t="s">
        <v>1028</v>
      </c>
      <c r="B13" s="6" t="s">
        <v>1029</v>
      </c>
      <c r="C13" s="6" t="s">
        <v>1030</v>
      </c>
      <c r="D13" s="6"/>
      <c r="E13" s="6"/>
    </row>
    <row r="14" customFormat="false" ht="36" hidden="false" customHeight="true" outlineLevel="0" collapsed="false">
      <c r="A14" s="6" t="s">
        <v>1031</v>
      </c>
      <c r="B14" s="6" t="s">
        <v>1032</v>
      </c>
      <c r="C14" s="6" t="s">
        <v>1033</v>
      </c>
      <c r="D14" s="6"/>
      <c r="E14" s="6"/>
    </row>
    <row r="15" customFormat="false" ht="36" hidden="false" customHeight="true" outlineLevel="0" collapsed="false">
      <c r="A15" s="6" t="s">
        <v>1034</v>
      </c>
      <c r="B15" s="6" t="s">
        <v>1035</v>
      </c>
      <c r="C15" s="6" t="s">
        <v>1036</v>
      </c>
      <c r="D15" s="6"/>
      <c r="E15" s="6"/>
    </row>
    <row r="16" customFormat="false" ht="30" hidden="false" customHeight="true" outlineLevel="0" collapsed="false">
      <c r="A16" s="6" t="s">
        <v>1037</v>
      </c>
      <c r="B16" s="6" t="s">
        <v>1038</v>
      </c>
      <c r="C16" s="6" t="s">
        <v>1039</v>
      </c>
      <c r="D16" s="6"/>
      <c r="E16" s="6"/>
    </row>
    <row r="17" customFormat="false" ht="36" hidden="false" customHeight="true" outlineLevel="0" collapsed="false">
      <c r="A17" s="6" t="s">
        <v>1040</v>
      </c>
      <c r="B17" s="6" t="s">
        <v>1041</v>
      </c>
      <c r="C17" s="6" t="s">
        <v>1042</v>
      </c>
      <c r="D17" s="6"/>
      <c r="E17" s="6"/>
    </row>
    <row r="18" customFormat="false" ht="36" hidden="false" customHeight="true" outlineLevel="0" collapsed="false">
      <c r="A18" s="6" t="s">
        <v>1043</v>
      </c>
      <c r="B18" s="6" t="s">
        <v>1044</v>
      </c>
      <c r="C18" s="6" t="s">
        <v>1045</v>
      </c>
      <c r="D18" s="6"/>
      <c r="E18" s="6"/>
    </row>
    <row r="19" customFormat="false" ht="36" hidden="false" customHeight="true" outlineLevel="0" collapsed="false">
      <c r="A19" s="6" t="s">
        <v>1046</v>
      </c>
      <c r="B19" s="6" t="s">
        <v>1047</v>
      </c>
      <c r="C19" s="6" t="s">
        <v>1048</v>
      </c>
      <c r="D19" s="6"/>
      <c r="E19" s="6"/>
    </row>
    <row r="20" customFormat="false" ht="36" hidden="false" customHeight="true" outlineLevel="0" collapsed="false">
      <c r="A20" s="6" t="s">
        <v>1049</v>
      </c>
      <c r="B20" s="6" t="s">
        <v>1050</v>
      </c>
      <c r="C20" s="6" t="s">
        <v>1051</v>
      </c>
      <c r="D20" s="6"/>
      <c r="E20" s="6"/>
    </row>
    <row r="21" customFormat="false" ht="36" hidden="false" customHeight="true" outlineLevel="0" collapsed="false">
      <c r="A21" s="6" t="s">
        <v>1052</v>
      </c>
      <c r="B21" s="6" t="s">
        <v>1053</v>
      </c>
      <c r="C21" s="6" t="s">
        <v>1054</v>
      </c>
      <c r="D21" s="6"/>
      <c r="E21" s="6"/>
    </row>
    <row r="22" customFormat="false" ht="36" hidden="false" customHeight="true" outlineLevel="0" collapsed="false">
      <c r="A22" s="6" t="s">
        <v>1055</v>
      </c>
      <c r="B22" s="6" t="s">
        <v>1056</v>
      </c>
      <c r="C22" s="6" t="s">
        <v>1057</v>
      </c>
      <c r="D22" s="6"/>
      <c r="E22" s="6"/>
    </row>
    <row r="23" customFormat="false" ht="36" hidden="false" customHeight="true" outlineLevel="0" collapsed="false">
      <c r="A23" s="6" t="s">
        <v>1058</v>
      </c>
      <c r="B23" s="6" t="s">
        <v>1059</v>
      </c>
      <c r="C23" s="6" t="s">
        <v>1060</v>
      </c>
      <c r="D23" s="6"/>
      <c r="E23" s="6"/>
    </row>
    <row r="24" customFormat="false" ht="36" hidden="false" customHeight="true" outlineLevel="0" collapsed="false">
      <c r="A24" s="6" t="s">
        <v>1061</v>
      </c>
      <c r="B24" s="6" t="s">
        <v>1062</v>
      </c>
      <c r="C24" s="6" t="s">
        <v>1063</v>
      </c>
      <c r="D24" s="6"/>
      <c r="E24" s="6"/>
    </row>
    <row r="25" customFormat="false" ht="36" hidden="false" customHeight="true" outlineLevel="0" collapsed="false">
      <c r="A25" s="6" t="s">
        <v>1064</v>
      </c>
      <c r="B25" s="6" t="s">
        <v>1065</v>
      </c>
      <c r="C25" s="6" t="s">
        <v>1066</v>
      </c>
      <c r="D25" s="6"/>
      <c r="E25" s="6"/>
    </row>
    <row r="26" customFormat="false" ht="36" hidden="false" customHeight="true" outlineLevel="0" collapsed="false">
      <c r="A26" s="6" t="s">
        <v>1067</v>
      </c>
      <c r="B26" s="6" t="s">
        <v>1068</v>
      </c>
      <c r="C26" s="6" t="s">
        <v>1069</v>
      </c>
      <c r="D26" s="6"/>
      <c r="E26" s="6"/>
    </row>
    <row r="27" customFormat="false" ht="30" hidden="false" customHeight="true" outlineLevel="0" collapsed="false">
      <c r="A27" s="6" t="s">
        <v>1070</v>
      </c>
      <c r="B27" s="6" t="s">
        <v>1071</v>
      </c>
      <c r="C27" s="6" t="s">
        <v>1072</v>
      </c>
      <c r="D27" s="6"/>
      <c r="E27" s="6"/>
    </row>
    <row r="28" customFormat="false" ht="63.75" hidden="false" customHeight="true" outlineLevel="0" collapsed="false">
      <c r="A28" s="6" t="s">
        <v>1073</v>
      </c>
      <c r="B28" s="6" t="s">
        <v>1074</v>
      </c>
      <c r="C28" s="6" t="s">
        <v>1075</v>
      </c>
      <c r="D28" s="6"/>
      <c r="E28" s="6"/>
    </row>
    <row r="29" customFormat="false" ht="36" hidden="false" customHeight="true" outlineLevel="0" collapsed="false">
      <c r="A29" s="6" t="s">
        <v>1076</v>
      </c>
      <c r="B29" s="6" t="s">
        <v>1077</v>
      </c>
      <c r="C29" s="6" t="s">
        <v>1078</v>
      </c>
      <c r="D29" s="6"/>
      <c r="E29" s="6"/>
    </row>
    <row r="30" customFormat="false" ht="36" hidden="false" customHeight="true" outlineLevel="0" collapsed="false">
      <c r="A30" s="6" t="s">
        <v>1079</v>
      </c>
      <c r="B30" s="6" t="s">
        <v>1080</v>
      </c>
      <c r="C30" s="6" t="s">
        <v>1081</v>
      </c>
      <c r="D30" s="6"/>
      <c r="E30" s="6"/>
    </row>
    <row r="31" customFormat="false" ht="36" hidden="false" customHeight="true" outlineLevel="0" collapsed="false">
      <c r="A31" s="6" t="s">
        <v>1082</v>
      </c>
      <c r="B31" s="6" t="s">
        <v>1083</v>
      </c>
      <c r="C31" s="6" t="s">
        <v>1084</v>
      </c>
      <c r="D31" s="6"/>
      <c r="E31" s="6"/>
    </row>
    <row r="32" customFormat="false" ht="36" hidden="false" customHeight="true" outlineLevel="0" collapsed="false">
      <c r="A32" s="6" t="s">
        <v>1085</v>
      </c>
      <c r="B32" s="6" t="s">
        <v>1086</v>
      </c>
      <c r="C32" s="6" t="s">
        <v>1087</v>
      </c>
      <c r="D32" s="6"/>
      <c r="E32" s="6"/>
    </row>
    <row r="33" customFormat="false" ht="63.75" hidden="false" customHeight="true" outlineLevel="0" collapsed="false">
      <c r="A33" s="6" t="s">
        <v>1088</v>
      </c>
      <c r="B33" s="6" t="s">
        <v>1089</v>
      </c>
      <c r="C33" s="6" t="s">
        <v>1090</v>
      </c>
      <c r="D33" s="6"/>
      <c r="E33" s="6"/>
    </row>
    <row r="34" customFormat="false" ht="36" hidden="false" customHeight="true" outlineLevel="0" collapsed="false">
      <c r="A34" s="6" t="s">
        <v>1091</v>
      </c>
      <c r="B34" s="6" t="s">
        <v>1092</v>
      </c>
      <c r="C34" s="6" t="s">
        <v>1093</v>
      </c>
      <c r="D34" s="6"/>
      <c r="E34" s="6"/>
    </row>
    <row r="35" customFormat="false" ht="36" hidden="false" customHeight="true" outlineLevel="0" collapsed="false">
      <c r="A35" s="6" t="s">
        <v>1094</v>
      </c>
      <c r="B35" s="6" t="s">
        <v>1095</v>
      </c>
      <c r="C35" s="6" t="s">
        <v>1096</v>
      </c>
      <c r="D35" s="6" t="s">
        <v>1097</v>
      </c>
      <c r="E35" s="6" t="s">
        <v>1098</v>
      </c>
    </row>
    <row r="36" customFormat="false" ht="30" hidden="false" customHeight="true" outlineLevel="0" collapsed="false">
      <c r="A36" s="6" t="s">
        <v>1099</v>
      </c>
      <c r="B36" s="6" t="s">
        <v>1100</v>
      </c>
      <c r="C36" s="6" t="s">
        <v>1101</v>
      </c>
      <c r="D36" s="6" t="s">
        <v>1102</v>
      </c>
      <c r="E36" s="6" t="s">
        <v>1098</v>
      </c>
    </row>
    <row r="37" customFormat="false" ht="30" hidden="false" customHeight="true" outlineLevel="0" collapsed="false">
      <c r="A37" s="6" t="s">
        <v>326</v>
      </c>
      <c r="B37" s="6" t="s">
        <v>1103</v>
      </c>
      <c r="C37" s="6" t="s">
        <v>1104</v>
      </c>
      <c r="D37" s="6" t="s">
        <v>1105</v>
      </c>
      <c r="E37" s="6" t="s">
        <v>1098</v>
      </c>
    </row>
    <row r="38" customFormat="false" ht="30" hidden="false" customHeight="true" outlineLevel="0" collapsed="false">
      <c r="A38" s="6" t="s">
        <v>1106</v>
      </c>
      <c r="B38" s="6" t="s">
        <v>1107</v>
      </c>
      <c r="C38" s="6" t="s">
        <v>1108</v>
      </c>
      <c r="D38" s="6" t="s">
        <v>1109</v>
      </c>
      <c r="E38" s="6" t="s">
        <v>1098</v>
      </c>
    </row>
    <row r="39" customFormat="false" ht="30" hidden="false" customHeight="true" outlineLevel="0" collapsed="false">
      <c r="A39" s="6" t="s">
        <v>1110</v>
      </c>
      <c r="B39" s="6" t="s">
        <v>1111</v>
      </c>
      <c r="C39" s="6" t="s">
        <v>1112</v>
      </c>
      <c r="D39" s="6" t="s">
        <v>1113</v>
      </c>
      <c r="E39" s="6" t="s">
        <v>1098</v>
      </c>
    </row>
    <row r="40" customFormat="false" ht="36" hidden="false" customHeight="true" outlineLevel="0" collapsed="false">
      <c r="A40" s="6" t="s">
        <v>1114</v>
      </c>
      <c r="B40" s="6" t="s">
        <v>1115</v>
      </c>
      <c r="C40" s="6" t="s">
        <v>1116</v>
      </c>
      <c r="D40" s="6" t="s">
        <v>1117</v>
      </c>
      <c r="E40" s="6" t="s">
        <v>1098</v>
      </c>
    </row>
    <row r="41" customFormat="false" ht="30" hidden="false" customHeight="true" outlineLevel="0" collapsed="false">
      <c r="A41" s="6" t="s">
        <v>1118</v>
      </c>
      <c r="B41" s="6" t="s">
        <v>1119</v>
      </c>
      <c r="C41" s="6" t="s">
        <v>1120</v>
      </c>
      <c r="D41" s="6" t="s">
        <v>1121</v>
      </c>
      <c r="E41" s="6" t="s">
        <v>1098</v>
      </c>
    </row>
    <row r="42" customFormat="false" ht="30" hidden="false" customHeight="true" outlineLevel="0" collapsed="false">
      <c r="A42" s="6" t="s">
        <v>1122</v>
      </c>
      <c r="B42" s="6" t="s">
        <v>1123</v>
      </c>
      <c r="C42" s="6" t="s">
        <v>1124</v>
      </c>
      <c r="D42" s="6" t="s">
        <v>1125</v>
      </c>
      <c r="E42" s="6" t="s">
        <v>1098</v>
      </c>
    </row>
    <row r="43" customFormat="false" ht="30" hidden="false" customHeight="true" outlineLevel="0" collapsed="false">
      <c r="A43" s="6" t="s">
        <v>150</v>
      </c>
      <c r="B43" s="6" t="s">
        <v>1126</v>
      </c>
      <c r="C43" s="6" t="s">
        <v>1127</v>
      </c>
      <c r="D43" s="6" t="s">
        <v>1128</v>
      </c>
      <c r="E43" s="6" t="s">
        <v>1098</v>
      </c>
    </row>
    <row r="44" customFormat="false" ht="36" hidden="false" customHeight="true" outlineLevel="0" collapsed="false">
      <c r="A44" s="6" t="s">
        <v>240</v>
      </c>
      <c r="B44" s="6" t="s">
        <v>1129</v>
      </c>
      <c r="C44" s="6" t="s">
        <v>1130</v>
      </c>
      <c r="D44" s="6" t="s">
        <v>1131</v>
      </c>
      <c r="E44" s="6" t="s">
        <v>1098</v>
      </c>
    </row>
    <row r="45" customFormat="false" ht="36" hidden="false" customHeight="true" outlineLevel="0" collapsed="false">
      <c r="A45" s="6" t="s">
        <v>1132</v>
      </c>
      <c r="B45" s="6" t="s">
        <v>1133</v>
      </c>
      <c r="C45" s="6" t="s">
        <v>1134</v>
      </c>
      <c r="D45" s="6" t="s">
        <v>1135</v>
      </c>
      <c r="E45" s="6" t="s">
        <v>1098</v>
      </c>
    </row>
    <row r="46" customFormat="false" ht="36" hidden="false" customHeight="true" outlineLevel="0" collapsed="false">
      <c r="A46" s="6" t="s">
        <v>1136</v>
      </c>
      <c r="B46" s="6" t="s">
        <v>1137</v>
      </c>
      <c r="C46" s="6" t="s">
        <v>1138</v>
      </c>
      <c r="D46" s="6" t="s">
        <v>1139</v>
      </c>
      <c r="E46" s="6" t="s">
        <v>1098</v>
      </c>
    </row>
    <row r="47" customFormat="false" ht="30" hidden="false" customHeight="true" outlineLevel="0" collapsed="false">
      <c r="A47" s="6" t="s">
        <v>1140</v>
      </c>
      <c r="B47" s="6" t="s">
        <v>1141</v>
      </c>
      <c r="C47" s="6" t="s">
        <v>1142</v>
      </c>
      <c r="D47" s="6" t="s">
        <v>1143</v>
      </c>
      <c r="E47" s="6" t="s">
        <v>1098</v>
      </c>
    </row>
    <row r="48" customFormat="false" ht="36" hidden="false" customHeight="true" outlineLevel="0" collapsed="false">
      <c r="A48" s="6" t="s">
        <v>249</v>
      </c>
      <c r="B48" s="6" t="s">
        <v>1144</v>
      </c>
      <c r="C48" s="6" t="s">
        <v>1145</v>
      </c>
      <c r="D48" s="6" t="s">
        <v>1146</v>
      </c>
      <c r="E48" s="6" t="s">
        <v>1098</v>
      </c>
    </row>
    <row r="49" customFormat="false" ht="36" hidden="false" customHeight="true" outlineLevel="0" collapsed="false">
      <c r="A49" s="6" t="s">
        <v>1147</v>
      </c>
      <c r="B49" s="6" t="s">
        <v>1148</v>
      </c>
      <c r="C49" s="6" t="s">
        <v>1149</v>
      </c>
      <c r="D49" s="6" t="s">
        <v>1150</v>
      </c>
      <c r="E49" s="6" t="s">
        <v>1098</v>
      </c>
    </row>
    <row r="50" customFormat="false" ht="30" hidden="false" customHeight="true" outlineLevel="0" collapsed="false">
      <c r="A50" s="6" t="s">
        <v>1151</v>
      </c>
      <c r="B50" s="6" t="s">
        <v>1152</v>
      </c>
      <c r="C50" s="6" t="s">
        <v>1153</v>
      </c>
      <c r="D50" s="6" t="s">
        <v>1154</v>
      </c>
      <c r="E50" s="6" t="s">
        <v>1098</v>
      </c>
    </row>
    <row r="51" customFormat="false" ht="30" hidden="false" customHeight="true" outlineLevel="0" collapsed="false">
      <c r="A51" s="11" t="s">
        <v>1155</v>
      </c>
      <c r="B51" s="11" t="s">
        <v>1156</v>
      </c>
      <c r="C51" s="11" t="s">
        <v>1157</v>
      </c>
      <c r="D51" s="11" t="s">
        <v>1158</v>
      </c>
      <c r="E51" s="11" t="s">
        <v>1098</v>
      </c>
    </row>
    <row r="52" customFormat="false" ht="30" hidden="false" customHeight="true" outlineLevel="0" collapsed="false">
      <c r="A52" s="11" t="s">
        <v>1159</v>
      </c>
      <c r="B52" s="11" t="s">
        <v>1160</v>
      </c>
      <c r="C52" s="11" t="s">
        <v>1161</v>
      </c>
      <c r="D52" s="11" t="s">
        <v>1162</v>
      </c>
      <c r="E52" s="11" t="s">
        <v>1098</v>
      </c>
    </row>
    <row r="53" customFormat="false" ht="36" hidden="false" customHeight="true" outlineLevel="0" collapsed="false">
      <c r="A53" s="11" t="s">
        <v>446</v>
      </c>
      <c r="B53" s="11" t="s">
        <v>1163</v>
      </c>
      <c r="C53" s="11" t="s">
        <v>1164</v>
      </c>
      <c r="D53" s="11" t="s">
        <v>1165</v>
      </c>
      <c r="E53" s="11" t="s">
        <v>1098</v>
      </c>
    </row>
    <row r="54" customFormat="false" ht="36" hidden="false" customHeight="true" outlineLevel="0" collapsed="false">
      <c r="A54" s="11" t="s">
        <v>1166</v>
      </c>
      <c r="B54" s="11" t="s">
        <v>1167</v>
      </c>
      <c r="C54" s="11" t="s">
        <v>1168</v>
      </c>
      <c r="D54" s="11" t="s">
        <v>1169</v>
      </c>
      <c r="E54" s="11" t="s">
        <v>1098</v>
      </c>
    </row>
    <row r="55" customFormat="false" ht="36" hidden="false" customHeight="true" outlineLevel="0" collapsed="false">
      <c r="A55" s="11" t="s">
        <v>1170</v>
      </c>
      <c r="B55" s="11" t="s">
        <v>1171</v>
      </c>
      <c r="C55" s="11" t="s">
        <v>1172</v>
      </c>
      <c r="D55" s="11" t="s">
        <v>1173</v>
      </c>
      <c r="E55" s="11" t="s">
        <v>1098</v>
      </c>
    </row>
    <row r="56" customFormat="false" ht="30" hidden="false" customHeight="true" outlineLevel="0" collapsed="false">
      <c r="A56" s="11" t="s">
        <v>1174</v>
      </c>
      <c r="B56" s="11" t="s">
        <v>1175</v>
      </c>
      <c r="C56" s="11" t="s">
        <v>1176</v>
      </c>
      <c r="D56" s="11" t="s">
        <v>1177</v>
      </c>
      <c r="E56" s="11" t="s">
        <v>1098</v>
      </c>
    </row>
    <row r="57" customFormat="false" ht="49.5" hidden="false" customHeight="true" outlineLevel="0" collapsed="false">
      <c r="A57" s="11" t="s">
        <v>1178</v>
      </c>
      <c r="B57" s="11" t="s">
        <v>1179</v>
      </c>
      <c r="C57" s="11" t="s">
        <v>1180</v>
      </c>
      <c r="D57" s="11" t="s">
        <v>1181</v>
      </c>
      <c r="E57" s="11" t="s">
        <v>1182</v>
      </c>
    </row>
    <row r="58" customFormat="false" ht="36" hidden="false" customHeight="true" outlineLevel="0" collapsed="false">
      <c r="A58" s="11" t="s">
        <v>1183</v>
      </c>
      <c r="B58" s="11" t="s">
        <v>1184</v>
      </c>
      <c r="C58" s="11" t="s">
        <v>1185</v>
      </c>
      <c r="D58" s="11" t="s">
        <v>1186</v>
      </c>
      <c r="E58" s="11" t="s">
        <v>1182</v>
      </c>
    </row>
    <row r="59" customFormat="false" ht="36" hidden="false" customHeight="true" outlineLevel="0" collapsed="false">
      <c r="A59" s="11" t="s">
        <v>1187</v>
      </c>
      <c r="B59" s="11" t="s">
        <v>1188</v>
      </c>
      <c r="C59" s="11" t="s">
        <v>1189</v>
      </c>
      <c r="D59" s="11" t="s">
        <v>1190</v>
      </c>
      <c r="E59" s="11" t="s">
        <v>1182</v>
      </c>
    </row>
    <row r="60" customFormat="false" ht="36" hidden="false" customHeight="true" outlineLevel="0" collapsed="false">
      <c r="A60" s="11" t="s">
        <v>1191</v>
      </c>
      <c r="B60" s="11" t="s">
        <v>1192</v>
      </c>
      <c r="C60" s="11" t="s">
        <v>1193</v>
      </c>
      <c r="D60" s="11" t="s">
        <v>1194</v>
      </c>
      <c r="E60" s="11" t="s">
        <v>1182</v>
      </c>
    </row>
    <row r="61" customFormat="false" ht="36" hidden="false" customHeight="true" outlineLevel="0" collapsed="false">
      <c r="A61" s="11" t="s">
        <v>1195</v>
      </c>
      <c r="B61" s="11" t="s">
        <v>1196</v>
      </c>
      <c r="C61" s="11" t="s">
        <v>1197</v>
      </c>
      <c r="D61" s="11" t="s">
        <v>1198</v>
      </c>
      <c r="E61" s="11" t="s">
        <v>1182</v>
      </c>
    </row>
    <row r="62" customFormat="false" ht="36" hidden="false" customHeight="true" outlineLevel="0" collapsed="false">
      <c r="A62" s="11" t="s">
        <v>1199</v>
      </c>
      <c r="B62" s="11" t="s">
        <v>1200</v>
      </c>
      <c r="C62" s="11" t="s">
        <v>1201</v>
      </c>
      <c r="D62" s="11" t="s">
        <v>1202</v>
      </c>
      <c r="E62" s="11" t="s">
        <v>1182</v>
      </c>
    </row>
    <row r="63" customFormat="false" ht="36" hidden="false" customHeight="true" outlineLevel="0" collapsed="false">
      <c r="A63" s="11" t="s">
        <v>1203</v>
      </c>
      <c r="B63" s="11" t="s">
        <v>1204</v>
      </c>
      <c r="C63" s="11" t="s">
        <v>1205</v>
      </c>
      <c r="D63" s="11" t="s">
        <v>1206</v>
      </c>
      <c r="E63" s="11" t="s">
        <v>1182</v>
      </c>
    </row>
  </sheetData>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70"/>
  </cols>
  <sheetData>
    <row r="2" customFormat="false" ht="19.7" hidden="false" customHeight="false" outlineLevel="0" collapsed="false">
      <c r="A2" s="19" t="s">
        <v>1207</v>
      </c>
    </row>
    <row r="3" customFormat="false" ht="15" hidden="false" customHeight="false" outlineLevel="0" collapsed="false">
      <c r="A3" s="29" t="s">
        <v>1208</v>
      </c>
    </row>
    <row r="5" customFormat="false" ht="25.5" hidden="false" customHeight="true" outlineLevel="0" collapsed="false">
      <c r="A5" s="5" t="s">
        <v>1209</v>
      </c>
      <c r="B5" s="5" t="s">
        <v>1210</v>
      </c>
      <c r="C5" s="5" t="s">
        <v>1211</v>
      </c>
      <c r="D5" s="5" t="s">
        <v>1212</v>
      </c>
    </row>
    <row r="6" customFormat="false" ht="27.75" hidden="false" customHeight="true" outlineLevel="0" collapsed="false">
      <c r="A6" s="11" t="s">
        <v>1213</v>
      </c>
      <c r="B6" s="16" t="n">
        <v>46302</v>
      </c>
      <c r="C6" s="11"/>
      <c r="D6" s="11" t="s">
        <v>1214</v>
      </c>
    </row>
    <row r="7" customFormat="false" ht="27.75" hidden="false" customHeight="true" outlineLevel="0" collapsed="false">
      <c r="A7" s="11" t="s">
        <v>1215</v>
      </c>
      <c r="B7" s="16" t="n">
        <v>46336</v>
      </c>
      <c r="C7" s="11"/>
      <c r="D7" s="11" t="s">
        <v>1216</v>
      </c>
    </row>
    <row r="8" customFormat="false" ht="27.75" hidden="false" customHeight="true" outlineLevel="0" collapsed="false">
      <c r="A8" s="11" t="s">
        <v>1217</v>
      </c>
      <c r="B8" s="16" t="n">
        <v>46307</v>
      </c>
      <c r="C8" s="11"/>
      <c r="D8" s="11" t="s">
        <v>1218</v>
      </c>
    </row>
    <row r="9" customFormat="false" ht="27.75" hidden="false" customHeight="true" outlineLevel="0" collapsed="false">
      <c r="A9" s="11" t="s">
        <v>1219</v>
      </c>
      <c r="B9" s="16" t="n">
        <v>46329</v>
      </c>
      <c r="C9" s="11"/>
      <c r="D9" s="11" t="s">
        <v>1220</v>
      </c>
    </row>
    <row r="10" customFormat="false" ht="27.75" hidden="false" customHeight="true" outlineLevel="0" collapsed="false">
      <c r="A10" s="11" t="s">
        <v>1221</v>
      </c>
      <c r="B10" s="16"/>
      <c r="C10" s="11"/>
      <c r="D10" s="11" t="s">
        <v>1222</v>
      </c>
    </row>
    <row r="11" customFormat="false" ht="27.75" hidden="false" customHeight="true" outlineLevel="0" collapsed="false">
      <c r="A11" s="11" t="s">
        <v>1223</v>
      </c>
      <c r="B11" s="16"/>
      <c r="C11" s="11"/>
      <c r="D11" s="11" t="s">
        <v>1222</v>
      </c>
    </row>
    <row r="13" customFormat="false" ht="27.75" hidden="false" customHeight="true" outlineLevel="0" collapsed="false">
      <c r="A13" s="11" t="s">
        <v>1224</v>
      </c>
      <c r="B13" s="30" t="n">
        <f aca="false">NETWORKDAYS(B6,B7,B8:B11)</f>
        <v>23</v>
      </c>
      <c r="C13" s="11"/>
      <c r="D13" s="11" t="s">
        <v>1225</v>
      </c>
    </row>
    <row r="14" customFormat="false" ht="27.75" hidden="false" customHeight="true" outlineLevel="0" collapsed="false">
      <c r="A14" s="11" t="s">
        <v>1226</v>
      </c>
      <c r="B14" s="17" t="n">
        <f aca="false">SUM(WBS!L6:L59)</f>
        <v>22.4</v>
      </c>
      <c r="C14" s="11"/>
      <c r="D14" s="11" t="s">
        <v>1227</v>
      </c>
    </row>
    <row r="15" customFormat="false" ht="27.75" hidden="false" customHeight="true" outlineLevel="0" collapsed="false">
      <c r="A15" s="11" t="s">
        <v>1228</v>
      </c>
      <c r="B15" s="17" t="n">
        <f aca="false">B13-B14</f>
        <v>0.600000000000001</v>
      </c>
      <c r="C15" s="11"/>
      <c r="D15" s="11" t="s">
        <v>1229</v>
      </c>
    </row>
    <row r="16" customFormat="false" ht="27.75" hidden="false" customHeight="true" outlineLevel="0" collapsed="false">
      <c r="A16" s="11" t="s">
        <v>1230</v>
      </c>
      <c r="B16" s="31" t="n">
        <f aca="false">B14/B13</f>
        <v>0.973913043478261</v>
      </c>
      <c r="C16" s="11"/>
      <c r="D16" s="11" t="s">
        <v>1231</v>
      </c>
    </row>
    <row r="17" customFormat="false" ht="27.75" hidden="false" customHeight="true" outlineLevel="0" collapsed="false">
      <c r="A17" s="11" t="s">
        <v>1232</v>
      </c>
      <c r="B17" s="17" t="n">
        <f aca="false">SUM(WBS!S6:S59)</f>
        <v>1.5</v>
      </c>
      <c r="C17" s="11"/>
      <c r="D17" s="11" t="s">
        <v>1233</v>
      </c>
    </row>
    <row r="18" customFormat="false" ht="27.75" hidden="false" customHeight="true" outlineLevel="0" collapsed="false">
      <c r="A18" s="11" t="s">
        <v>1234</v>
      </c>
      <c r="B18" s="17" t="n">
        <f aca="false">B15-B17</f>
        <v>-0.899999999999999</v>
      </c>
      <c r="C18" s="11"/>
      <c r="D18" s="11" t="s">
        <v>1235</v>
      </c>
    </row>
    <row r="19" customFormat="false" ht="30" hidden="false" customHeight="true" outlineLevel="0" collapsed="false">
      <c r="A19" s="11" t="s">
        <v>1236</v>
      </c>
      <c r="B19" s="20" t="str">
        <f aca="false">IF(B15&lt;0,"基本工数が稼働日数を超過：日程見直しが必要",IF(B18&lt;0,"基本は収まるが、条件付き追加がすべて発生すると超過：発生時は提出日を再判断","条件付き追加を含めても収まる"))</f>
        <v>基本は収まるが、条件付き追加がすべて発生すると超過：発生時は提出日を再判断</v>
      </c>
      <c r="C19" s="20"/>
      <c r="D19" s="20"/>
    </row>
    <row r="20" customFormat="false" ht="27.75" hidden="false" customHeight="true" outlineLevel="0" collapsed="false">
      <c r="A20" s="11" t="s">
        <v>1237</v>
      </c>
      <c r="B20" s="30" t="n">
        <f aca="false">SUMPRODUCT(--(WEEKDAY(WBS!J6:K59,2)&gt;5))+SUMPRODUCT(--ISNUMBER(MATCH(WBS!J6:K59,B8:B11,0)))</f>
        <v>0</v>
      </c>
      <c r="C20" s="11"/>
      <c r="D20" s="11" t="s">
        <v>1238</v>
      </c>
    </row>
    <row r="22" customFormat="false" ht="15" hidden="false" customHeight="false" outlineLevel="0" collapsed="false">
      <c r="A22" s="5" t="s">
        <v>1239</v>
      </c>
      <c r="B22" s="5" t="s">
        <v>1240</v>
      </c>
      <c r="C22" s="5" t="s">
        <v>1211</v>
      </c>
      <c r="D22" s="5"/>
    </row>
    <row r="23" customFormat="false" ht="21.75" hidden="false" customHeight="true" outlineLevel="0" collapsed="false">
      <c r="A23" s="11" t="s">
        <v>26</v>
      </c>
      <c r="B23" s="17" t="n">
        <f aca="false">SUMIF(WBS!$B$6:$B$59,A23,WBS!$L$6:$L$59)</f>
        <v>6.15</v>
      </c>
      <c r="C23" s="17" t="n">
        <f aca="false">SUMIF(WBS!$B$6:$B$59,A23,WBS!$S$6:$S$59)</f>
        <v>0</v>
      </c>
      <c r="D23" s="11"/>
    </row>
    <row r="24" customFormat="false" ht="21.75" hidden="false" customHeight="true" outlineLevel="0" collapsed="false">
      <c r="A24" s="11" t="s">
        <v>144</v>
      </c>
      <c r="B24" s="17" t="n">
        <f aca="false">SUMIF(WBS!$B$6:$B$59,A24,WBS!$L$6:$L$59)</f>
        <v>3</v>
      </c>
      <c r="C24" s="17" t="n">
        <f aca="false">SUMIF(WBS!$B$6:$B$59,A24,WBS!$S$6:$S$59)</f>
        <v>0</v>
      </c>
      <c r="D24" s="11"/>
    </row>
    <row r="25" customFormat="false" ht="21.75" hidden="false" customHeight="true" outlineLevel="0" collapsed="false">
      <c r="A25" s="11" t="s">
        <v>209</v>
      </c>
      <c r="B25" s="17" t="n">
        <f aca="false">SUMIF(WBS!$B$6:$B$59,A25,WBS!$L$6:$L$59)</f>
        <v>3.35</v>
      </c>
      <c r="C25" s="17" t="n">
        <f aca="false">SUMIF(WBS!$B$6:$B$59,A25,WBS!$S$6:$S$59)</f>
        <v>0</v>
      </c>
      <c r="D25" s="11"/>
    </row>
    <row r="26" customFormat="false" ht="21.75" hidden="false" customHeight="true" outlineLevel="0" collapsed="false">
      <c r="A26" s="11" t="s">
        <v>290</v>
      </c>
      <c r="B26" s="17" t="n">
        <f aca="false">SUMIF(WBS!$B$6:$B$59,A26,WBS!$L$6:$L$59)</f>
        <v>3</v>
      </c>
      <c r="C26" s="17" t="n">
        <f aca="false">SUMIF(WBS!$B$6:$B$59,A26,WBS!$S$6:$S$59)</f>
        <v>0.5</v>
      </c>
      <c r="D26" s="11"/>
    </row>
    <row r="27" customFormat="false" ht="21.75" hidden="false" customHeight="true" outlineLevel="0" collapsed="false">
      <c r="A27" s="11" t="s">
        <v>395</v>
      </c>
      <c r="B27" s="17" t="n">
        <f aca="false">SUMIF(WBS!$B$6:$B$59,A27,WBS!$L$6:$L$59)</f>
        <v>3.4</v>
      </c>
      <c r="C27" s="17" t="n">
        <f aca="false">SUMIF(WBS!$B$6:$B$59,A27,WBS!$S$6:$S$59)</f>
        <v>0.25</v>
      </c>
      <c r="D27" s="11"/>
    </row>
    <row r="28" customFormat="false" ht="21.75" hidden="false" customHeight="true" outlineLevel="0" collapsed="false">
      <c r="A28" s="11" t="s">
        <v>488</v>
      </c>
      <c r="B28" s="17" t="n">
        <f aca="false">SUMIF(WBS!$B$6:$B$59,A28,WBS!$L$6:$L$59)</f>
        <v>3.5</v>
      </c>
      <c r="C28" s="17" t="n">
        <f aca="false">SUMIF(WBS!$B$6:$B$59,A28,WBS!$S$6:$S$59)</f>
        <v>0.75</v>
      </c>
      <c r="D28" s="11"/>
    </row>
    <row r="29" customFormat="false" ht="15" hidden="false" customHeight="false" outlineLevel="0" collapsed="false">
      <c r="A29" s="32" t="s">
        <v>1241</v>
      </c>
      <c r="B29" s="33" t="n">
        <f aca="false">SUM(B23:B28)</f>
        <v>22.4</v>
      </c>
      <c r="C29" s="33" t="n">
        <f aca="false">SUM(C23:C28)</f>
        <v>1.5</v>
      </c>
      <c r="D29" s="11" t="s">
        <v>1242</v>
      </c>
    </row>
  </sheetData>
  <mergeCells count="1">
    <mergeCell ref="B19:D1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G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0"/>
    <col collapsed="false" customWidth="true" hidden="false" outlineLevel="0" max="4" min="4" style="0" width="38"/>
    <col collapsed="false" customWidth="true" hidden="false" outlineLevel="0" max="5" min="5" style="0" width="52"/>
    <col collapsed="false" customWidth="true" hidden="false" outlineLevel="0" max="6" min="6" style="0" width="54"/>
    <col collapsed="false" customWidth="true" hidden="false" outlineLevel="0" max="7" min="7" style="0" width="34"/>
  </cols>
  <sheetData>
    <row r="2" customFormat="false" ht="23.85" hidden="false" customHeight="false" outlineLevel="0" collapsed="false">
      <c r="A2" s="19" t="s">
        <v>1243</v>
      </c>
    </row>
    <row r="3" customFormat="false" ht="15" hidden="false" customHeight="false" outlineLevel="0" collapsed="false">
      <c r="A3" s="29" t="s">
        <v>1244</v>
      </c>
    </row>
    <row r="5" customFormat="false" ht="25.5" hidden="false" customHeight="true" outlineLevel="0" collapsed="false">
      <c r="A5" s="5" t="s">
        <v>988</v>
      </c>
      <c r="B5" s="5" t="s">
        <v>1245</v>
      </c>
      <c r="C5" s="5" t="s">
        <v>987</v>
      </c>
      <c r="D5" s="5" t="s">
        <v>1246</v>
      </c>
      <c r="E5" s="5" t="s">
        <v>1247</v>
      </c>
      <c r="F5" s="5" t="s">
        <v>1248</v>
      </c>
      <c r="G5" s="5" t="s">
        <v>1249</v>
      </c>
    </row>
    <row r="6" customFormat="false" ht="49.5" hidden="false" customHeight="true" outlineLevel="0" collapsed="false">
      <c r="A6" s="11" t="n">
        <v>1</v>
      </c>
      <c r="B6" s="15" t="s">
        <v>392</v>
      </c>
      <c r="C6" s="11" t="s">
        <v>1250</v>
      </c>
      <c r="D6" s="11" t="s">
        <v>983</v>
      </c>
      <c r="E6" s="11" t="s">
        <v>1251</v>
      </c>
      <c r="F6" s="11" t="s">
        <v>1252</v>
      </c>
      <c r="G6" s="11" t="s">
        <v>1253</v>
      </c>
    </row>
    <row r="7" customFormat="false" ht="36" hidden="false" customHeight="true" outlineLevel="0" collapsed="false">
      <c r="A7" s="11" t="n">
        <v>2</v>
      </c>
      <c r="B7" s="10" t="s">
        <v>40</v>
      </c>
      <c r="C7" s="11" t="s">
        <v>1254</v>
      </c>
      <c r="D7" s="11" t="s">
        <v>1255</v>
      </c>
      <c r="E7" s="11" t="s">
        <v>1256</v>
      </c>
      <c r="F7" s="11" t="s">
        <v>1257</v>
      </c>
      <c r="G7" s="11" t="s">
        <v>1258</v>
      </c>
    </row>
    <row r="8" customFormat="false" ht="49.5" hidden="false" customHeight="true" outlineLevel="0" collapsed="false">
      <c r="A8" s="11" t="n">
        <v>3</v>
      </c>
      <c r="B8" s="10" t="s">
        <v>40</v>
      </c>
      <c r="C8" s="11" t="s">
        <v>1259</v>
      </c>
      <c r="D8" s="11" t="s">
        <v>1260</v>
      </c>
      <c r="E8" s="11" t="s">
        <v>1261</v>
      </c>
      <c r="F8" s="11" t="s">
        <v>1262</v>
      </c>
      <c r="G8" s="11" t="s">
        <v>1263</v>
      </c>
    </row>
    <row r="9" customFormat="false" ht="36" hidden="false" customHeight="true" outlineLevel="0" collapsed="false">
      <c r="A9" s="11" t="n">
        <v>4</v>
      </c>
      <c r="B9" s="10" t="s">
        <v>40</v>
      </c>
      <c r="C9" s="11" t="s">
        <v>1264</v>
      </c>
      <c r="D9" s="11" t="s">
        <v>1265</v>
      </c>
      <c r="E9" s="11" t="s">
        <v>1266</v>
      </c>
      <c r="F9" s="11" t="s">
        <v>1267</v>
      </c>
      <c r="G9" s="11" t="s">
        <v>1268</v>
      </c>
    </row>
    <row r="10" customFormat="false" ht="49.5" hidden="false" customHeight="true" outlineLevel="0" collapsed="false">
      <c r="A10" s="11" t="n">
        <v>5</v>
      </c>
      <c r="B10" s="10" t="s">
        <v>40</v>
      </c>
      <c r="C10" s="11" t="s">
        <v>1269</v>
      </c>
      <c r="D10" s="11" t="s">
        <v>983</v>
      </c>
      <c r="E10" s="11" t="s">
        <v>1270</v>
      </c>
      <c r="F10" s="11" t="s">
        <v>1271</v>
      </c>
      <c r="G10" s="11" t="s">
        <v>1272</v>
      </c>
    </row>
    <row r="11" customFormat="false" ht="49.5" hidden="false" customHeight="true" outlineLevel="0" collapsed="false">
      <c r="A11" s="11" t="n">
        <v>6</v>
      </c>
      <c r="B11" s="10" t="s">
        <v>40</v>
      </c>
      <c r="C11" s="11" t="s">
        <v>1273</v>
      </c>
      <c r="D11" s="11" t="s">
        <v>983</v>
      </c>
      <c r="E11" s="11" t="s">
        <v>1274</v>
      </c>
      <c r="F11" s="11" t="s">
        <v>1275</v>
      </c>
      <c r="G11" s="11" t="s">
        <v>1276</v>
      </c>
    </row>
    <row r="12" customFormat="false" ht="36" hidden="false" customHeight="true" outlineLevel="0" collapsed="false">
      <c r="A12" s="11" t="n">
        <v>7</v>
      </c>
      <c r="B12" s="10" t="s">
        <v>40</v>
      </c>
      <c r="C12" s="11" t="s">
        <v>1277</v>
      </c>
      <c r="D12" s="11" t="s">
        <v>1278</v>
      </c>
      <c r="E12" s="11" t="s">
        <v>1279</v>
      </c>
      <c r="F12" s="11" t="s">
        <v>1280</v>
      </c>
      <c r="G12" s="11" t="s">
        <v>1281</v>
      </c>
    </row>
    <row r="13" customFormat="false" ht="49.5" hidden="false" customHeight="true" outlineLevel="0" collapsed="false">
      <c r="A13" s="11" t="n">
        <v>8</v>
      </c>
      <c r="B13" s="10" t="s">
        <v>40</v>
      </c>
      <c r="C13" s="11" t="s">
        <v>1282</v>
      </c>
      <c r="D13" s="11" t="s">
        <v>1283</v>
      </c>
      <c r="E13" s="11" t="s">
        <v>1284</v>
      </c>
      <c r="F13" s="11" t="s">
        <v>1285</v>
      </c>
      <c r="G13" s="11" t="s">
        <v>1286</v>
      </c>
    </row>
    <row r="14" customFormat="false" ht="36" hidden="false" customHeight="true" outlineLevel="0" collapsed="false">
      <c r="A14" s="11" t="n">
        <v>9</v>
      </c>
      <c r="B14" s="10" t="s">
        <v>40</v>
      </c>
      <c r="C14" s="11" t="s">
        <v>1287</v>
      </c>
      <c r="D14" s="11" t="s">
        <v>1288</v>
      </c>
      <c r="E14" s="11" t="s">
        <v>1289</v>
      </c>
      <c r="F14" s="11" t="s">
        <v>1290</v>
      </c>
      <c r="G14" s="11" t="s">
        <v>1291</v>
      </c>
    </row>
    <row r="15" customFormat="false" ht="36" hidden="false" customHeight="true" outlineLevel="0" collapsed="false">
      <c r="A15" s="11" t="n">
        <v>10</v>
      </c>
      <c r="B15" s="10" t="s">
        <v>40</v>
      </c>
      <c r="C15" s="11" t="s">
        <v>1292</v>
      </c>
      <c r="D15" s="11" t="s">
        <v>1293</v>
      </c>
      <c r="E15" s="11" t="s">
        <v>1294</v>
      </c>
      <c r="F15" s="11" t="s">
        <v>1295</v>
      </c>
      <c r="G15" s="11" t="s">
        <v>1296</v>
      </c>
    </row>
    <row r="16" customFormat="false" ht="49.5" hidden="false" customHeight="true" outlineLevel="0" collapsed="false">
      <c r="A16" s="11" t="n">
        <v>11</v>
      </c>
      <c r="B16" s="10" t="s">
        <v>40</v>
      </c>
      <c r="C16" s="11" t="s">
        <v>1297</v>
      </c>
      <c r="D16" s="11" t="s">
        <v>1298</v>
      </c>
      <c r="E16" s="11" t="s">
        <v>1299</v>
      </c>
      <c r="F16" s="11" t="s">
        <v>1300</v>
      </c>
      <c r="G16" s="11" t="s">
        <v>1268</v>
      </c>
    </row>
    <row r="17" customFormat="false" ht="63.75" hidden="false" customHeight="true" outlineLevel="0" collapsed="false">
      <c r="A17" s="11" t="n">
        <v>12</v>
      </c>
      <c r="B17" s="14" t="s">
        <v>327</v>
      </c>
      <c r="C17" s="11" t="s">
        <v>1301</v>
      </c>
      <c r="D17" s="11" t="s">
        <v>1302</v>
      </c>
      <c r="E17" s="11" t="s">
        <v>1303</v>
      </c>
      <c r="F17" s="11" t="s">
        <v>1304</v>
      </c>
      <c r="G17" s="11" t="s">
        <v>1305</v>
      </c>
    </row>
    <row r="18" customFormat="false" ht="36" hidden="false" customHeight="true" outlineLevel="0" collapsed="false">
      <c r="A18" s="11" t="n">
        <v>13</v>
      </c>
      <c r="B18" s="14" t="s">
        <v>327</v>
      </c>
      <c r="C18" s="11" t="s">
        <v>1306</v>
      </c>
      <c r="D18" s="11" t="s">
        <v>1307</v>
      </c>
      <c r="E18" s="11" t="s">
        <v>1308</v>
      </c>
      <c r="F18" s="11" t="s">
        <v>1309</v>
      </c>
      <c r="G18" s="11" t="s">
        <v>1305</v>
      </c>
    </row>
    <row r="19" customFormat="false" ht="36" hidden="false" customHeight="true" outlineLevel="0" collapsed="false">
      <c r="A19" s="11" t="n">
        <v>14</v>
      </c>
      <c r="B19" s="13" t="s">
        <v>1310</v>
      </c>
      <c r="C19" s="11" t="s">
        <v>1311</v>
      </c>
      <c r="D19" s="11" t="s">
        <v>1312</v>
      </c>
      <c r="E19" s="11" t="s">
        <v>1313</v>
      </c>
      <c r="F19" s="11" t="s">
        <v>1314</v>
      </c>
      <c r="G19" s="11" t="s">
        <v>1315</v>
      </c>
    </row>
    <row r="20" customFormat="false" ht="63.75" hidden="false" customHeight="true" outlineLevel="0" collapsed="false">
      <c r="A20" s="11" t="n">
        <v>15</v>
      </c>
      <c r="B20" s="10" t="s">
        <v>40</v>
      </c>
      <c r="C20" s="11" t="s">
        <v>1316</v>
      </c>
      <c r="D20" s="11" t="s">
        <v>983</v>
      </c>
      <c r="E20" s="11" t="s">
        <v>1317</v>
      </c>
      <c r="F20" s="11" t="s">
        <v>1318</v>
      </c>
      <c r="G20" s="11" t="s">
        <v>1319</v>
      </c>
    </row>
    <row r="21" customFormat="false" ht="36" hidden="false" customHeight="true" outlineLevel="0" collapsed="false">
      <c r="A21" s="11" t="n">
        <v>16</v>
      </c>
      <c r="B21" s="10" t="s">
        <v>40</v>
      </c>
      <c r="C21" s="11" t="s">
        <v>1320</v>
      </c>
      <c r="D21" s="11" t="s">
        <v>1321</v>
      </c>
      <c r="E21" s="11" t="s">
        <v>1322</v>
      </c>
      <c r="F21" s="11" t="s">
        <v>1323</v>
      </c>
      <c r="G21" s="11" t="s">
        <v>1324</v>
      </c>
    </row>
    <row r="22" customFormat="false" ht="36" hidden="false" customHeight="true" outlineLevel="0" collapsed="false">
      <c r="A22" s="11" t="n">
        <v>17</v>
      </c>
      <c r="B22" s="13" t="s">
        <v>1325</v>
      </c>
      <c r="C22" s="11" t="s">
        <v>1326</v>
      </c>
      <c r="D22" s="11" t="s">
        <v>1327</v>
      </c>
      <c r="E22" s="11" t="s">
        <v>1328</v>
      </c>
      <c r="F22" s="11" t="s">
        <v>1329</v>
      </c>
      <c r="G22" s="11" t="s">
        <v>983</v>
      </c>
    </row>
    <row r="23" customFormat="false" ht="36" hidden="false" customHeight="true" outlineLevel="0" collapsed="false">
      <c r="A23" s="11" t="n">
        <v>18</v>
      </c>
      <c r="B23" s="13" t="s">
        <v>1330</v>
      </c>
      <c r="C23" s="11" t="s">
        <v>1331</v>
      </c>
      <c r="D23" s="11" t="s">
        <v>983</v>
      </c>
      <c r="E23" s="11" t="s">
        <v>1332</v>
      </c>
      <c r="F23" s="11" t="s">
        <v>1333</v>
      </c>
      <c r="G23" s="11" t="s">
        <v>983</v>
      </c>
    </row>
    <row r="24" customFormat="false" ht="63.75" hidden="false" customHeight="true" outlineLevel="0" collapsed="false">
      <c r="A24" s="11" t="n">
        <v>19</v>
      </c>
      <c r="B24" s="10" t="s">
        <v>40</v>
      </c>
      <c r="C24" s="11" t="s">
        <v>1334</v>
      </c>
      <c r="D24" s="11" t="s">
        <v>1335</v>
      </c>
      <c r="E24" s="11" t="s">
        <v>1336</v>
      </c>
      <c r="F24" s="11" t="s">
        <v>1337</v>
      </c>
      <c r="G24" s="11" t="s">
        <v>983</v>
      </c>
    </row>
    <row r="25" customFormat="false" ht="36" hidden="false" customHeight="true" outlineLevel="0" collapsed="false">
      <c r="A25" s="11" t="n">
        <v>20</v>
      </c>
      <c r="B25" s="10" t="s">
        <v>40</v>
      </c>
      <c r="C25" s="11" t="s">
        <v>1338</v>
      </c>
      <c r="D25" s="11" t="s">
        <v>1339</v>
      </c>
      <c r="E25" s="11" t="s">
        <v>1340</v>
      </c>
      <c r="F25" s="11" t="s">
        <v>1341</v>
      </c>
      <c r="G25" s="11" t="s">
        <v>983</v>
      </c>
    </row>
    <row r="26" customFormat="false" ht="49.5" hidden="false" customHeight="true" outlineLevel="0" collapsed="false">
      <c r="A26" s="11" t="n">
        <v>21</v>
      </c>
      <c r="B26" s="15" t="s">
        <v>392</v>
      </c>
      <c r="C26" s="11" t="s">
        <v>1342</v>
      </c>
      <c r="D26" s="11" t="s">
        <v>983</v>
      </c>
      <c r="E26" s="11" t="s">
        <v>1343</v>
      </c>
      <c r="F26" s="11" t="s">
        <v>1344</v>
      </c>
      <c r="G26" s="11" t="s">
        <v>1345</v>
      </c>
    </row>
    <row r="27" customFormat="false" ht="31.5" hidden="false" customHeight="true" outlineLevel="0" collapsed="false">
      <c r="A27" s="11" t="n">
        <v>22</v>
      </c>
      <c r="B27" s="15" t="s">
        <v>392</v>
      </c>
      <c r="C27" s="11" t="s">
        <v>1346</v>
      </c>
      <c r="D27" s="11" t="s">
        <v>983</v>
      </c>
      <c r="E27" s="11" t="s">
        <v>1347</v>
      </c>
      <c r="F27" s="11" t="s">
        <v>1348</v>
      </c>
      <c r="G27" s="11" t="s">
        <v>983</v>
      </c>
    </row>
    <row r="28" customFormat="false" ht="36" hidden="false" customHeight="true" outlineLevel="0" collapsed="false">
      <c r="A28" s="11" t="n">
        <v>23</v>
      </c>
      <c r="B28" s="10" t="s">
        <v>40</v>
      </c>
      <c r="C28" s="11" t="s">
        <v>1349</v>
      </c>
      <c r="D28" s="11" t="s">
        <v>1350</v>
      </c>
      <c r="E28" s="11" t="s">
        <v>1351</v>
      </c>
      <c r="F28" s="11" t="s">
        <v>1352</v>
      </c>
      <c r="G28" s="11" t="s">
        <v>983</v>
      </c>
    </row>
    <row r="30" customFormat="false" ht="24" hidden="false" customHeight="true" outlineLevel="0" collapsed="false">
      <c r="A30" s="5" t="s">
        <v>1353</v>
      </c>
      <c r="B30" s="5"/>
      <c r="C30" s="5"/>
      <c r="D30" s="5"/>
      <c r="E30" s="5"/>
      <c r="F30" s="5"/>
      <c r="G30" s="5"/>
    </row>
    <row r="31" customFormat="false" ht="30" hidden="false" customHeight="true" outlineLevel="0" collapsed="false">
      <c r="A31" s="11" t="s">
        <v>1354</v>
      </c>
      <c r="B31" s="20" t="s">
        <v>1355</v>
      </c>
      <c r="C31" s="20"/>
      <c r="D31" s="20"/>
      <c r="E31" s="20"/>
      <c r="F31" s="20"/>
      <c r="G31" s="20"/>
    </row>
    <row r="32" customFormat="false" ht="30" hidden="false" customHeight="true" outlineLevel="0" collapsed="false">
      <c r="A32" s="11" t="s">
        <v>1354</v>
      </c>
      <c r="B32" s="20" t="s">
        <v>1356</v>
      </c>
      <c r="C32" s="20"/>
      <c r="D32" s="20"/>
      <c r="E32" s="20"/>
      <c r="F32" s="20"/>
      <c r="G32" s="20"/>
    </row>
    <row r="33" customFormat="false" ht="30" hidden="false" customHeight="true" outlineLevel="0" collapsed="false">
      <c r="A33" s="11" t="s">
        <v>1354</v>
      </c>
      <c r="B33" s="20" t="s">
        <v>1357</v>
      </c>
      <c r="C33" s="20"/>
      <c r="D33" s="20"/>
      <c r="E33" s="20"/>
      <c r="F33" s="20"/>
      <c r="G33" s="20"/>
    </row>
    <row r="34" customFormat="false" ht="30" hidden="false" customHeight="true" outlineLevel="0" collapsed="false">
      <c r="A34" s="11" t="s">
        <v>1354</v>
      </c>
      <c r="B34" s="20" t="s">
        <v>1358</v>
      </c>
      <c r="C34" s="20"/>
      <c r="D34" s="20"/>
      <c r="E34" s="20"/>
      <c r="F34" s="20"/>
      <c r="G34" s="20"/>
    </row>
    <row r="35" customFormat="false" ht="30" hidden="false" customHeight="true" outlineLevel="0" collapsed="false">
      <c r="A35" s="11" t="s">
        <v>1354</v>
      </c>
      <c r="B35" s="20" t="s">
        <v>1359</v>
      </c>
      <c r="C35" s="20"/>
      <c r="D35" s="20"/>
      <c r="E35" s="20"/>
      <c r="F35" s="20"/>
      <c r="G35" s="20"/>
    </row>
    <row r="37" customFormat="false" ht="24" hidden="false" customHeight="true" outlineLevel="0" collapsed="false">
      <c r="A37" s="5" t="s">
        <v>1360</v>
      </c>
      <c r="B37" s="5"/>
      <c r="C37" s="5"/>
      <c r="D37" s="5"/>
      <c r="E37" s="5"/>
      <c r="F37" s="5"/>
      <c r="G37" s="5"/>
    </row>
    <row r="38" customFormat="false" ht="25.5" hidden="false" customHeight="true" outlineLevel="0" collapsed="false">
      <c r="A38" s="5" t="s">
        <v>1002</v>
      </c>
      <c r="B38" s="5" t="s">
        <v>1245</v>
      </c>
      <c r="C38" s="5" t="s">
        <v>1361</v>
      </c>
      <c r="D38" s="5" t="s">
        <v>1362</v>
      </c>
      <c r="E38" s="5" t="s">
        <v>1363</v>
      </c>
      <c r="F38" s="5" t="s">
        <v>1364</v>
      </c>
      <c r="G38" s="5"/>
    </row>
    <row r="39" customFormat="false" ht="36" hidden="false" customHeight="true" outlineLevel="0" collapsed="false">
      <c r="A39" s="11" t="s">
        <v>25</v>
      </c>
      <c r="B39" s="10" t="s">
        <v>40</v>
      </c>
      <c r="C39" s="11" t="s">
        <v>28</v>
      </c>
      <c r="D39" s="11" t="s">
        <v>1365</v>
      </c>
      <c r="E39" s="11" t="s">
        <v>1365</v>
      </c>
      <c r="F39" s="20" t="s">
        <v>41</v>
      </c>
      <c r="G39" s="20"/>
    </row>
    <row r="40" customFormat="false" ht="36" hidden="false" customHeight="true" outlineLevel="0" collapsed="false">
      <c r="A40" s="11" t="s">
        <v>42</v>
      </c>
      <c r="B40" s="10" t="s">
        <v>40</v>
      </c>
      <c r="C40" s="11" t="s">
        <v>43</v>
      </c>
      <c r="D40" s="11" t="s">
        <v>1366</v>
      </c>
      <c r="E40" s="11" t="s">
        <v>1367</v>
      </c>
      <c r="F40" s="20" t="s">
        <v>51</v>
      </c>
      <c r="G40" s="20"/>
    </row>
    <row r="41" customFormat="false" ht="36" hidden="false" customHeight="true" outlineLevel="0" collapsed="false">
      <c r="A41" s="11" t="s">
        <v>52</v>
      </c>
      <c r="B41" s="10" t="s">
        <v>40</v>
      </c>
      <c r="C41" s="11" t="s">
        <v>54</v>
      </c>
      <c r="D41" s="11" t="s">
        <v>1368</v>
      </c>
      <c r="E41" s="11" t="s">
        <v>1368</v>
      </c>
      <c r="F41" s="20" t="s">
        <v>61</v>
      </c>
      <c r="G41" s="20"/>
    </row>
    <row r="42" customFormat="false" ht="36" hidden="false" customHeight="true" outlineLevel="0" collapsed="false">
      <c r="A42" s="11" t="s">
        <v>62</v>
      </c>
      <c r="B42" s="10" t="s">
        <v>40</v>
      </c>
      <c r="C42" s="11" t="s">
        <v>64</v>
      </c>
      <c r="D42" s="11" t="s">
        <v>1368</v>
      </c>
      <c r="E42" s="11" t="s">
        <v>1368</v>
      </c>
      <c r="F42" s="20" t="s">
        <v>72</v>
      </c>
      <c r="G42" s="20"/>
    </row>
    <row r="43" customFormat="false" ht="36" hidden="false" customHeight="true" outlineLevel="0" collapsed="false">
      <c r="A43" s="11" t="s">
        <v>73</v>
      </c>
      <c r="B43" s="12" t="s">
        <v>82</v>
      </c>
      <c r="C43" s="11" t="s">
        <v>75</v>
      </c>
      <c r="D43" s="11" t="s">
        <v>1369</v>
      </c>
      <c r="E43" s="11" t="s">
        <v>1370</v>
      </c>
      <c r="F43" s="20" t="s">
        <v>83</v>
      </c>
      <c r="G43" s="20"/>
    </row>
    <row r="44" customFormat="false" ht="36" hidden="false" customHeight="true" outlineLevel="0" collapsed="false">
      <c r="A44" s="11" t="s">
        <v>84</v>
      </c>
      <c r="B44" s="12" t="s">
        <v>82</v>
      </c>
      <c r="C44" s="11" t="s">
        <v>86</v>
      </c>
      <c r="D44" s="11" t="s">
        <v>1371</v>
      </c>
      <c r="E44" s="11" t="s">
        <v>1371</v>
      </c>
      <c r="F44" s="20" t="s">
        <v>94</v>
      </c>
      <c r="G44" s="20"/>
    </row>
    <row r="45" customFormat="false" ht="27.75" hidden="false" customHeight="true" outlineLevel="0" collapsed="false">
      <c r="A45" s="11" t="s">
        <v>95</v>
      </c>
      <c r="B45" s="13" t="s">
        <v>105</v>
      </c>
      <c r="C45" s="11" t="s">
        <v>96</v>
      </c>
      <c r="D45" s="11" t="s">
        <v>1372</v>
      </c>
      <c r="E45" s="11" t="s">
        <v>1372</v>
      </c>
      <c r="F45" s="20"/>
      <c r="G45" s="20"/>
    </row>
    <row r="46" customFormat="false" ht="36" hidden="false" customHeight="true" outlineLevel="0" collapsed="false">
      <c r="A46" s="11" t="s">
        <v>106</v>
      </c>
      <c r="B46" s="12" t="s">
        <v>82</v>
      </c>
      <c r="C46" s="11" t="s">
        <v>107</v>
      </c>
      <c r="D46" s="11" t="s">
        <v>1372</v>
      </c>
      <c r="E46" s="11" t="s">
        <v>1373</v>
      </c>
      <c r="F46" s="20" t="s">
        <v>113</v>
      </c>
      <c r="G46" s="20"/>
    </row>
    <row r="47" customFormat="false" ht="36" hidden="false" customHeight="true" outlineLevel="0" collapsed="false">
      <c r="A47" s="11" t="s">
        <v>114</v>
      </c>
      <c r="B47" s="13" t="s">
        <v>105</v>
      </c>
      <c r="C47" s="11" t="s">
        <v>116</v>
      </c>
      <c r="D47" s="11" t="s">
        <v>1371</v>
      </c>
      <c r="E47" s="11" t="s">
        <v>1371</v>
      </c>
      <c r="F47" s="20"/>
      <c r="G47" s="20"/>
    </row>
    <row r="48" customFormat="false" ht="36" hidden="false" customHeight="true" outlineLevel="0" collapsed="false">
      <c r="A48" s="11" t="s">
        <v>124</v>
      </c>
      <c r="B48" s="12" t="s">
        <v>82</v>
      </c>
      <c r="C48" s="11" t="s">
        <v>125</v>
      </c>
      <c r="D48" s="11" t="s">
        <v>1374</v>
      </c>
      <c r="E48" s="11" t="s">
        <v>1375</v>
      </c>
      <c r="F48" s="20" t="s">
        <v>133</v>
      </c>
      <c r="G48" s="20"/>
    </row>
    <row r="49" customFormat="false" ht="36" hidden="false" customHeight="true" outlineLevel="0" collapsed="false">
      <c r="A49" s="11" t="s">
        <v>134</v>
      </c>
      <c r="B49" s="10" t="s">
        <v>40</v>
      </c>
      <c r="C49" s="11" t="s">
        <v>135</v>
      </c>
      <c r="D49" s="11" t="s">
        <v>1376</v>
      </c>
      <c r="E49" s="11" t="s">
        <v>1377</v>
      </c>
      <c r="F49" s="20" t="s">
        <v>142</v>
      </c>
      <c r="G49" s="20"/>
    </row>
    <row r="50" customFormat="false" ht="36" hidden="false" customHeight="true" outlineLevel="0" collapsed="false">
      <c r="A50" s="11" t="s">
        <v>143</v>
      </c>
      <c r="B50" s="12" t="s">
        <v>82</v>
      </c>
      <c r="C50" s="11" t="s">
        <v>146</v>
      </c>
      <c r="D50" s="11" t="s">
        <v>1378</v>
      </c>
      <c r="E50" s="11" t="s">
        <v>1379</v>
      </c>
      <c r="F50" s="20" t="s">
        <v>151</v>
      </c>
      <c r="G50" s="20"/>
    </row>
    <row r="51" customFormat="false" ht="36" hidden="false" customHeight="true" outlineLevel="0" collapsed="false">
      <c r="A51" s="11" t="s">
        <v>152</v>
      </c>
      <c r="B51" s="12" t="s">
        <v>82</v>
      </c>
      <c r="C51" s="11" t="s">
        <v>153</v>
      </c>
      <c r="D51" s="11" t="s">
        <v>1378</v>
      </c>
      <c r="E51" s="11" t="s">
        <v>1379</v>
      </c>
      <c r="F51" s="20" t="s">
        <v>151</v>
      </c>
      <c r="G51" s="20"/>
    </row>
    <row r="52" customFormat="false" ht="36" hidden="false" customHeight="true" outlineLevel="0" collapsed="false">
      <c r="A52" s="11" t="s">
        <v>158</v>
      </c>
      <c r="B52" s="10" t="s">
        <v>40</v>
      </c>
      <c r="C52" s="11" t="s">
        <v>159</v>
      </c>
      <c r="D52" s="11" t="s">
        <v>1380</v>
      </c>
      <c r="E52" s="11" t="s">
        <v>1381</v>
      </c>
      <c r="F52" s="20" t="s">
        <v>168</v>
      </c>
      <c r="G52" s="20"/>
    </row>
    <row r="53" customFormat="false" ht="36" hidden="false" customHeight="true" outlineLevel="0" collapsed="false">
      <c r="A53" s="11" t="s">
        <v>169</v>
      </c>
      <c r="B53" s="10" t="s">
        <v>40</v>
      </c>
      <c r="C53" s="11" t="s">
        <v>170</v>
      </c>
      <c r="D53" s="11" t="s">
        <v>1379</v>
      </c>
      <c r="E53" s="11" t="s">
        <v>1382</v>
      </c>
      <c r="F53" s="20" t="s">
        <v>175</v>
      </c>
      <c r="G53" s="20"/>
    </row>
    <row r="54" customFormat="false" ht="36" hidden="false" customHeight="true" outlineLevel="0" collapsed="false">
      <c r="A54" s="11" t="s">
        <v>176</v>
      </c>
      <c r="B54" s="10" t="s">
        <v>40</v>
      </c>
      <c r="C54" s="11" t="s">
        <v>178</v>
      </c>
      <c r="D54" s="11" t="s">
        <v>1383</v>
      </c>
      <c r="E54" s="11" t="s">
        <v>1383</v>
      </c>
      <c r="F54" s="20" t="s">
        <v>186</v>
      </c>
      <c r="G54" s="20"/>
    </row>
    <row r="55" customFormat="false" ht="36" hidden="false" customHeight="true" outlineLevel="0" collapsed="false">
      <c r="A55" s="11" t="s">
        <v>187</v>
      </c>
      <c r="B55" s="10" t="s">
        <v>40</v>
      </c>
      <c r="C55" s="11" t="s">
        <v>189</v>
      </c>
      <c r="D55" s="11" t="s">
        <v>1383</v>
      </c>
      <c r="E55" s="11" t="s">
        <v>1384</v>
      </c>
      <c r="F55" s="20" t="s">
        <v>197</v>
      </c>
      <c r="G55" s="20"/>
    </row>
    <row r="56" customFormat="false" ht="36" hidden="false" customHeight="true" outlineLevel="0" collapsed="false">
      <c r="A56" s="11" t="s">
        <v>198</v>
      </c>
      <c r="B56" s="12" t="s">
        <v>82</v>
      </c>
      <c r="C56" s="11" t="s">
        <v>200</v>
      </c>
      <c r="D56" s="11" t="s">
        <v>1385</v>
      </c>
      <c r="E56" s="11" t="s">
        <v>1386</v>
      </c>
      <c r="F56" s="20" t="s">
        <v>207</v>
      </c>
      <c r="G56" s="20"/>
    </row>
    <row r="57" customFormat="false" ht="36" hidden="false" customHeight="true" outlineLevel="0" collapsed="false">
      <c r="A57" s="11" t="s">
        <v>208</v>
      </c>
      <c r="B57" s="10" t="s">
        <v>40</v>
      </c>
      <c r="C57" s="11" t="s">
        <v>211</v>
      </c>
      <c r="D57" s="11" t="s">
        <v>1387</v>
      </c>
      <c r="E57" s="11" t="s">
        <v>1388</v>
      </c>
      <c r="F57" s="20" t="s">
        <v>216</v>
      </c>
      <c r="G57" s="20"/>
    </row>
    <row r="58" customFormat="false" ht="36" hidden="false" customHeight="true" outlineLevel="0" collapsed="false">
      <c r="A58" s="11" t="s">
        <v>217</v>
      </c>
      <c r="B58" s="13" t="s">
        <v>105</v>
      </c>
      <c r="C58" s="11" t="s">
        <v>218</v>
      </c>
      <c r="D58" s="11" t="s">
        <v>1389</v>
      </c>
      <c r="E58" s="11" t="s">
        <v>1389</v>
      </c>
      <c r="F58" s="20"/>
      <c r="G58" s="20"/>
    </row>
    <row r="59" customFormat="false" ht="36" hidden="false" customHeight="true" outlineLevel="0" collapsed="false">
      <c r="A59" s="11" t="s">
        <v>225</v>
      </c>
      <c r="B59" s="10" t="s">
        <v>40</v>
      </c>
      <c r="C59" s="11" t="s">
        <v>227</v>
      </c>
      <c r="D59" s="11" t="s">
        <v>1389</v>
      </c>
      <c r="E59" s="11" t="s">
        <v>1390</v>
      </c>
      <c r="F59" s="20" t="s">
        <v>233</v>
      </c>
      <c r="G59" s="20"/>
    </row>
    <row r="60" customFormat="false" ht="36" hidden="false" customHeight="true" outlineLevel="0" collapsed="false">
      <c r="A60" s="11" t="s">
        <v>234</v>
      </c>
      <c r="B60" s="10" t="s">
        <v>40</v>
      </c>
      <c r="C60" s="11" t="s">
        <v>235</v>
      </c>
      <c r="D60" s="11" t="s">
        <v>1391</v>
      </c>
      <c r="E60" s="11" t="s">
        <v>1391</v>
      </c>
      <c r="F60" s="20" t="s">
        <v>241</v>
      </c>
      <c r="G60" s="20"/>
    </row>
    <row r="61" customFormat="false" ht="36" hidden="false" customHeight="true" outlineLevel="0" collapsed="false">
      <c r="A61" s="11" t="s">
        <v>242</v>
      </c>
      <c r="B61" s="13" t="s">
        <v>105</v>
      </c>
      <c r="C61" s="11" t="s">
        <v>243</v>
      </c>
      <c r="D61" s="11" t="s">
        <v>1392</v>
      </c>
      <c r="E61" s="11" t="s">
        <v>1392</v>
      </c>
      <c r="F61" s="20"/>
      <c r="G61" s="20"/>
    </row>
    <row r="62" customFormat="false" ht="36" hidden="false" customHeight="true" outlineLevel="0" collapsed="false">
      <c r="A62" s="11" t="s">
        <v>250</v>
      </c>
      <c r="B62" s="13" t="s">
        <v>105</v>
      </c>
      <c r="C62" s="11" t="s">
        <v>252</v>
      </c>
      <c r="D62" s="11" t="s">
        <v>1393</v>
      </c>
      <c r="E62" s="11" t="s">
        <v>1393</v>
      </c>
      <c r="F62" s="20"/>
      <c r="G62" s="20"/>
    </row>
    <row r="63" customFormat="false" ht="36" hidden="false" customHeight="true" outlineLevel="0" collapsed="false">
      <c r="A63" s="11" t="s">
        <v>258</v>
      </c>
      <c r="B63" s="12" t="s">
        <v>82</v>
      </c>
      <c r="C63" s="11" t="s">
        <v>259</v>
      </c>
      <c r="D63" s="11" t="s">
        <v>1394</v>
      </c>
      <c r="E63" s="11" t="s">
        <v>1394</v>
      </c>
      <c r="F63" s="20" t="s">
        <v>267</v>
      </c>
      <c r="G63" s="20"/>
    </row>
    <row r="64" customFormat="false" ht="36" hidden="false" customHeight="true" outlineLevel="0" collapsed="false">
      <c r="A64" s="11" t="s">
        <v>268</v>
      </c>
      <c r="B64" s="13" t="s">
        <v>105</v>
      </c>
      <c r="C64" s="11" t="s">
        <v>270</v>
      </c>
      <c r="D64" s="11" t="s">
        <v>1395</v>
      </c>
      <c r="E64" s="11" t="s">
        <v>1395</v>
      </c>
      <c r="F64" s="20"/>
      <c r="G64" s="20"/>
    </row>
    <row r="65" customFormat="false" ht="36" hidden="false" customHeight="true" outlineLevel="0" collapsed="false">
      <c r="A65" s="11" t="s">
        <v>277</v>
      </c>
      <c r="B65" s="13" t="s">
        <v>105</v>
      </c>
      <c r="C65" s="11" t="s">
        <v>279</v>
      </c>
      <c r="D65" s="11" t="s">
        <v>1396</v>
      </c>
      <c r="E65" s="11" t="s">
        <v>1396</v>
      </c>
      <c r="F65" s="20"/>
      <c r="G65" s="20"/>
    </row>
    <row r="66" customFormat="false" ht="36" hidden="false" customHeight="true" outlineLevel="0" collapsed="false">
      <c r="A66" s="11" t="s">
        <v>289</v>
      </c>
      <c r="B66" s="10" t="s">
        <v>40</v>
      </c>
      <c r="C66" s="11" t="s">
        <v>292</v>
      </c>
      <c r="D66" s="11" t="s">
        <v>1397</v>
      </c>
      <c r="E66" s="11" t="s">
        <v>1397</v>
      </c>
      <c r="F66" s="20" t="s">
        <v>298</v>
      </c>
      <c r="G66" s="20"/>
    </row>
    <row r="67" customFormat="false" ht="36" hidden="false" customHeight="true" outlineLevel="0" collapsed="false">
      <c r="A67" s="11" t="s">
        <v>299</v>
      </c>
      <c r="B67" s="10" t="s">
        <v>40</v>
      </c>
      <c r="C67" s="11" t="s">
        <v>300</v>
      </c>
      <c r="D67" s="11" t="s">
        <v>1397</v>
      </c>
      <c r="E67" s="11" t="s">
        <v>1397</v>
      </c>
      <c r="F67" s="20" t="s">
        <v>306</v>
      </c>
      <c r="G67" s="20"/>
    </row>
    <row r="68" customFormat="false" ht="36" hidden="false" customHeight="true" outlineLevel="0" collapsed="false">
      <c r="A68" s="11" t="s">
        <v>307</v>
      </c>
      <c r="B68" s="12" t="s">
        <v>82</v>
      </c>
      <c r="C68" s="11" t="s">
        <v>309</v>
      </c>
      <c r="D68" s="11" t="s">
        <v>1398</v>
      </c>
      <c r="E68" s="11" t="s">
        <v>1393</v>
      </c>
      <c r="F68" s="20" t="s">
        <v>316</v>
      </c>
      <c r="G68" s="20"/>
    </row>
    <row r="69" customFormat="false" ht="49.5" hidden="false" customHeight="true" outlineLevel="0" collapsed="false">
      <c r="A69" s="11" t="s">
        <v>317</v>
      </c>
      <c r="B69" s="14" t="s">
        <v>327</v>
      </c>
      <c r="C69" s="11" t="s">
        <v>319</v>
      </c>
      <c r="D69" s="11" t="s">
        <v>1399</v>
      </c>
      <c r="E69" s="11" t="s">
        <v>1400</v>
      </c>
      <c r="F69" s="20" t="s">
        <v>328</v>
      </c>
      <c r="G69" s="20"/>
    </row>
    <row r="70" customFormat="false" ht="49.5" hidden="false" customHeight="true" outlineLevel="0" collapsed="false">
      <c r="A70" s="11" t="s">
        <v>329</v>
      </c>
      <c r="B70" s="14" t="s">
        <v>327</v>
      </c>
      <c r="C70" s="11" t="s">
        <v>330</v>
      </c>
      <c r="D70" s="11" t="s">
        <v>1399</v>
      </c>
      <c r="E70" s="11" t="s">
        <v>1401</v>
      </c>
      <c r="F70" s="20" t="s">
        <v>328</v>
      </c>
      <c r="G70" s="20"/>
    </row>
    <row r="71" customFormat="false" ht="49.5" hidden="false" customHeight="true" outlineLevel="0" collapsed="false">
      <c r="A71" s="11" t="s">
        <v>335</v>
      </c>
      <c r="B71" s="14" t="s">
        <v>327</v>
      </c>
      <c r="C71" s="11" t="s">
        <v>336</v>
      </c>
      <c r="D71" s="11" t="s">
        <v>1399</v>
      </c>
      <c r="E71" s="11" t="s">
        <v>1402</v>
      </c>
      <c r="F71" s="20" t="s">
        <v>328</v>
      </c>
      <c r="G71" s="20"/>
    </row>
    <row r="72" customFormat="false" ht="49.5" hidden="false" customHeight="true" outlineLevel="0" collapsed="false">
      <c r="A72" s="11" t="s">
        <v>341</v>
      </c>
      <c r="B72" s="14" t="s">
        <v>327</v>
      </c>
      <c r="C72" s="11" t="s">
        <v>342</v>
      </c>
      <c r="D72" s="11" t="s">
        <v>1399</v>
      </c>
      <c r="E72" s="11" t="s">
        <v>1403</v>
      </c>
      <c r="F72" s="20" t="s">
        <v>328</v>
      </c>
      <c r="G72" s="20"/>
    </row>
    <row r="73" customFormat="false" ht="36" hidden="false" customHeight="true" outlineLevel="0" collapsed="false">
      <c r="A73" s="11" t="s">
        <v>347</v>
      </c>
      <c r="B73" s="13" t="s">
        <v>105</v>
      </c>
      <c r="C73" s="11" t="s">
        <v>349</v>
      </c>
      <c r="D73" s="11" t="s">
        <v>1404</v>
      </c>
      <c r="E73" s="11" t="s">
        <v>1404</v>
      </c>
      <c r="F73" s="20"/>
      <c r="G73" s="20"/>
    </row>
    <row r="74" customFormat="false" ht="36" hidden="false" customHeight="true" outlineLevel="0" collapsed="false">
      <c r="A74" s="11" t="s">
        <v>354</v>
      </c>
      <c r="B74" s="13" t="s">
        <v>105</v>
      </c>
      <c r="C74" s="11" t="s">
        <v>355</v>
      </c>
      <c r="D74" s="11" t="s">
        <v>1405</v>
      </c>
      <c r="E74" s="11" t="s">
        <v>1405</v>
      </c>
      <c r="F74" s="20"/>
      <c r="G74" s="20"/>
    </row>
    <row r="75" customFormat="false" ht="36" hidden="false" customHeight="true" outlineLevel="0" collapsed="false">
      <c r="A75" s="11" t="s">
        <v>362</v>
      </c>
      <c r="B75" s="13" t="s">
        <v>105</v>
      </c>
      <c r="C75" s="11" t="s">
        <v>364</v>
      </c>
      <c r="D75" s="11" t="s">
        <v>1406</v>
      </c>
      <c r="E75" s="11" t="s">
        <v>1406</v>
      </c>
      <c r="F75" s="20"/>
      <c r="G75" s="20"/>
    </row>
    <row r="76" customFormat="false" ht="36" hidden="false" customHeight="true" outlineLevel="0" collapsed="false">
      <c r="A76" s="11" t="s">
        <v>373</v>
      </c>
      <c r="B76" s="12" t="s">
        <v>82</v>
      </c>
      <c r="C76" s="11" t="s">
        <v>375</v>
      </c>
      <c r="D76" s="11" t="s">
        <v>1407</v>
      </c>
      <c r="E76" s="11" t="s">
        <v>1408</v>
      </c>
      <c r="F76" s="20" t="s">
        <v>383</v>
      </c>
      <c r="G76" s="20"/>
    </row>
    <row r="77" customFormat="false" ht="49.5" hidden="false" customHeight="true" outlineLevel="0" collapsed="false">
      <c r="A77" s="11" t="s">
        <v>384</v>
      </c>
      <c r="B77" s="15" t="s">
        <v>392</v>
      </c>
      <c r="C77" s="11" t="s">
        <v>385</v>
      </c>
      <c r="D77" s="11" t="s">
        <v>983</v>
      </c>
      <c r="E77" s="11" t="s">
        <v>1409</v>
      </c>
      <c r="F77" s="20" t="s">
        <v>393</v>
      </c>
      <c r="G77" s="20"/>
    </row>
    <row r="78" customFormat="false" ht="36" hidden="false" customHeight="true" outlineLevel="0" collapsed="false">
      <c r="A78" s="11" t="s">
        <v>394</v>
      </c>
      <c r="B78" s="10" t="s">
        <v>40</v>
      </c>
      <c r="C78" s="11" t="s">
        <v>397</v>
      </c>
      <c r="D78" s="11" t="s">
        <v>1410</v>
      </c>
      <c r="E78" s="11" t="s">
        <v>1410</v>
      </c>
      <c r="F78" s="20" t="s">
        <v>406</v>
      </c>
      <c r="G78" s="20"/>
    </row>
    <row r="79" customFormat="false" ht="36" hidden="false" customHeight="true" outlineLevel="0" collapsed="false">
      <c r="A79" s="11" t="s">
        <v>407</v>
      </c>
      <c r="B79" s="10" t="s">
        <v>40</v>
      </c>
      <c r="C79" s="11" t="s">
        <v>408</v>
      </c>
      <c r="D79" s="11" t="s">
        <v>1411</v>
      </c>
      <c r="E79" s="11" t="s">
        <v>1412</v>
      </c>
      <c r="F79" s="20" t="s">
        <v>418</v>
      </c>
      <c r="G79" s="20"/>
    </row>
    <row r="80" customFormat="false" ht="36" hidden="false" customHeight="true" outlineLevel="0" collapsed="false">
      <c r="A80" s="11" t="s">
        <v>419</v>
      </c>
      <c r="B80" s="10" t="s">
        <v>40</v>
      </c>
      <c r="C80" s="11" t="s">
        <v>421</v>
      </c>
      <c r="D80" s="11" t="s">
        <v>1413</v>
      </c>
      <c r="E80" s="11" t="s">
        <v>1414</v>
      </c>
      <c r="F80" s="20" t="s">
        <v>428</v>
      </c>
      <c r="G80" s="20"/>
    </row>
    <row r="81" customFormat="false" ht="36" hidden="false" customHeight="true" outlineLevel="0" collapsed="false">
      <c r="A81" s="11" t="s">
        <v>429</v>
      </c>
      <c r="B81" s="12" t="s">
        <v>82</v>
      </c>
      <c r="C81" s="11" t="s">
        <v>430</v>
      </c>
      <c r="D81" s="11" t="s">
        <v>1415</v>
      </c>
      <c r="E81" s="11" t="s">
        <v>1416</v>
      </c>
      <c r="F81" s="20" t="s">
        <v>438</v>
      </c>
      <c r="G81" s="20"/>
    </row>
    <row r="82" customFormat="false" ht="27.75" hidden="false" customHeight="true" outlineLevel="0" collapsed="false">
      <c r="A82" s="11" t="s">
        <v>439</v>
      </c>
      <c r="B82" s="10" t="s">
        <v>40</v>
      </c>
      <c r="C82" s="11" t="s">
        <v>441</v>
      </c>
      <c r="D82" s="11" t="s">
        <v>1408</v>
      </c>
      <c r="E82" s="11" t="s">
        <v>1417</v>
      </c>
      <c r="F82" s="20" t="s">
        <v>447</v>
      </c>
      <c r="G82" s="20"/>
    </row>
    <row r="83" customFormat="false" ht="36" hidden="false" customHeight="true" outlineLevel="0" collapsed="false">
      <c r="A83" s="11" t="s">
        <v>448</v>
      </c>
      <c r="B83" s="10" t="s">
        <v>40</v>
      </c>
      <c r="C83" s="11" t="s">
        <v>450</v>
      </c>
      <c r="D83" s="11" t="s">
        <v>1416</v>
      </c>
      <c r="E83" s="11" t="s">
        <v>1418</v>
      </c>
      <c r="F83" s="20" t="s">
        <v>457</v>
      </c>
      <c r="G83" s="20"/>
    </row>
    <row r="84" customFormat="false" ht="49.5" hidden="false" customHeight="true" outlineLevel="0" collapsed="false">
      <c r="A84" s="11" t="s">
        <v>458</v>
      </c>
      <c r="B84" s="14" t="s">
        <v>327</v>
      </c>
      <c r="C84" s="11" t="s">
        <v>460</v>
      </c>
      <c r="D84" s="11" t="s">
        <v>1419</v>
      </c>
      <c r="E84" s="11" t="s">
        <v>1420</v>
      </c>
      <c r="F84" s="20" t="s">
        <v>467</v>
      </c>
      <c r="G84" s="20"/>
    </row>
    <row r="85" customFormat="false" ht="36" hidden="false" customHeight="true" outlineLevel="0" collapsed="false">
      <c r="A85" s="11" t="s">
        <v>468</v>
      </c>
      <c r="B85" s="14" t="s">
        <v>327</v>
      </c>
      <c r="C85" s="11" t="s">
        <v>469</v>
      </c>
      <c r="D85" s="11" t="s">
        <v>1419</v>
      </c>
      <c r="E85" s="11" t="s">
        <v>1421</v>
      </c>
      <c r="F85" s="20" t="s">
        <v>476</v>
      </c>
      <c r="G85" s="20"/>
    </row>
    <row r="86" customFormat="false" ht="27.75" hidden="false" customHeight="true" outlineLevel="0" collapsed="false">
      <c r="A86" s="11" t="s">
        <v>477</v>
      </c>
      <c r="B86" s="12" t="s">
        <v>82</v>
      </c>
      <c r="C86" s="11" t="s">
        <v>479</v>
      </c>
      <c r="D86" s="11" t="s">
        <v>1422</v>
      </c>
      <c r="E86" s="11" t="s">
        <v>1423</v>
      </c>
      <c r="F86" s="20" t="s">
        <v>486</v>
      </c>
      <c r="G86" s="20"/>
    </row>
    <row r="87" customFormat="false" ht="27.75" hidden="false" customHeight="true" outlineLevel="0" collapsed="false">
      <c r="A87" s="11" t="s">
        <v>487</v>
      </c>
      <c r="B87" s="10" t="s">
        <v>40</v>
      </c>
      <c r="C87" s="11" t="s">
        <v>490</v>
      </c>
      <c r="D87" s="11" t="s">
        <v>1424</v>
      </c>
      <c r="E87" s="11" t="s">
        <v>1425</v>
      </c>
      <c r="F87" s="20" t="s">
        <v>497</v>
      </c>
      <c r="G87" s="20"/>
    </row>
    <row r="88" customFormat="false" ht="36" hidden="false" customHeight="true" outlineLevel="0" collapsed="false">
      <c r="A88" s="11" t="s">
        <v>1426</v>
      </c>
      <c r="B88" s="34" t="s">
        <v>1310</v>
      </c>
      <c r="C88" s="11" t="s">
        <v>1427</v>
      </c>
      <c r="D88" s="11" t="s">
        <v>1428</v>
      </c>
      <c r="E88" s="11" t="s">
        <v>983</v>
      </c>
      <c r="F88" s="20" t="s">
        <v>1429</v>
      </c>
      <c r="G88" s="20"/>
    </row>
    <row r="89" customFormat="false" ht="36" hidden="false" customHeight="true" outlineLevel="0" collapsed="false">
      <c r="A89" s="11" t="s">
        <v>498</v>
      </c>
      <c r="B89" s="12" t="s">
        <v>82</v>
      </c>
      <c r="C89" s="11" t="s">
        <v>500</v>
      </c>
      <c r="D89" s="11" t="s">
        <v>1430</v>
      </c>
      <c r="E89" s="11" t="s">
        <v>1431</v>
      </c>
      <c r="F89" s="20" t="s">
        <v>507</v>
      </c>
      <c r="G89" s="20"/>
    </row>
    <row r="90" customFormat="false" ht="36" hidden="false" customHeight="true" outlineLevel="0" collapsed="false">
      <c r="A90" s="11" t="s">
        <v>508</v>
      </c>
      <c r="B90" s="12" t="s">
        <v>82</v>
      </c>
      <c r="C90" s="11" t="s">
        <v>509</v>
      </c>
      <c r="D90" s="11" t="s">
        <v>1432</v>
      </c>
      <c r="E90" s="11" t="s">
        <v>1433</v>
      </c>
      <c r="F90" s="20" t="s">
        <v>516</v>
      </c>
      <c r="G90" s="20"/>
    </row>
    <row r="91" customFormat="false" ht="36" hidden="false" customHeight="true" outlineLevel="0" collapsed="false">
      <c r="A91" s="11" t="s">
        <v>517</v>
      </c>
      <c r="B91" s="10" t="s">
        <v>40</v>
      </c>
      <c r="C91" s="11" t="s">
        <v>519</v>
      </c>
      <c r="D91" s="11" t="s">
        <v>1434</v>
      </c>
      <c r="E91" s="11" t="s">
        <v>1434</v>
      </c>
      <c r="F91" s="20" t="s">
        <v>525</v>
      </c>
      <c r="G91" s="20"/>
    </row>
    <row r="92" customFormat="false" ht="36" hidden="false" customHeight="true" outlineLevel="0" collapsed="false">
      <c r="A92" s="11" t="s">
        <v>526</v>
      </c>
      <c r="B92" s="10" t="s">
        <v>40</v>
      </c>
      <c r="C92" s="11" t="s">
        <v>528</v>
      </c>
      <c r="D92" s="11" t="s">
        <v>1435</v>
      </c>
      <c r="E92" s="11" t="s">
        <v>1435</v>
      </c>
      <c r="F92" s="20" t="s">
        <v>533</v>
      </c>
      <c r="G92" s="20"/>
    </row>
    <row r="93" customFormat="false" ht="36" hidden="false" customHeight="true" outlineLevel="0" collapsed="false">
      <c r="A93" s="11" t="s">
        <v>534</v>
      </c>
      <c r="B93" s="13" t="s">
        <v>105</v>
      </c>
      <c r="C93" s="11" t="s">
        <v>536</v>
      </c>
      <c r="D93" s="11" t="s">
        <v>1436</v>
      </c>
      <c r="E93" s="11" t="s">
        <v>1436</v>
      </c>
      <c r="F93" s="20"/>
      <c r="G93" s="20"/>
    </row>
  </sheetData>
  <mergeCells count="60">
    <mergeCell ref="B31:G31"/>
    <mergeCell ref="B32:G32"/>
    <mergeCell ref="B33:G33"/>
    <mergeCell ref="B34:G34"/>
    <mergeCell ref="B35:G35"/>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2026-10-06T00:26:41Z</dcterms:created>
  <dc:creator>openpyxl</dc:creator>
  <dc:description/>
  <dc:language>en-US</dc:language>
  <cp:lastModifiedBy>Microsoft Office User</cp:lastModifiedBy>
  <dcterms:modified xsi:type="dcterms:W3CDTF">2026-10-06T00:26:45Z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