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viviyuk/Downloads/"/>
    </mc:Choice>
  </mc:AlternateContent>
  <xr:revisionPtr revIDLastSave="0" documentId="8_{3ED89398-5B74-CA4C-8DD1-E89CF5E22C71}" xr6:coauthVersionLast="47" xr6:coauthVersionMax="47" xr10:uidLastSave="{00000000-0000-0000-0000-000000000000}"/>
  <bookViews>
    <workbookView xWindow="0" yWindow="600" windowWidth="38400" windowHeight="19300" xr2:uid="{00000000-000D-0000-FFFF-FFFF00000000}"/>
  </bookViews>
  <sheets>
    <sheet name="local admin account password po" sheetId="1" r:id="rId1"/>
    <sheet name="EdgeIEMode" sheetId="2" r:id="rId2"/>
    <sheet name="acc_pwd_setting" sheetId="3" r:id="rId3"/>
    <sheet name="EdgeBlockAllExtensionsExpSpecif" sheetId="4" r:id="rId4"/>
    <sheet name="ScreensaverConfig" sheetId="5" r:id="rId5"/>
    <sheet name="wbcertctrl" sheetId="6" r:id="rId6"/>
    <sheet name="AutoShareWksdisable" sheetId="7" r:id="rId7"/>
    <sheet name="IEConfigCompatibilityViewIntran" sheetId="8" r:id="rId8"/>
    <sheet name="IEConfig" sheetId="9" r:id="rId9"/>
    <sheet name="Permission for forensic usb" sheetId="10" r:id="rId10"/>
    <sheet name="PowershellLogging" sheetId="11" r:id="rId11"/>
    <sheet name="OutlookSettings" sheetId="12" r:id="rId12"/>
    <sheet name="OfficeAppAutoSave" sheetId="13" r:id="rId13"/>
    <sheet name="EdgePopupEnable" sheetId="14" r:id="rId14"/>
    <sheet name="BitlockerSetting" sheetId="15" r:id="rId15"/>
    <sheet name="Disable RemovableDisk" sheetId="16" r:id="rId16"/>
    <sheet name="RDPdisable" sheetId="18" r:id="rId17"/>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8" i="1" l="1"/>
  <c r="I17" i="1"/>
  <c r="I16" i="1"/>
  <c r="I15" i="1"/>
  <c r="I14" i="1"/>
  <c r="I13" i="1"/>
  <c r="I12" i="1"/>
  <c r="I11" i="1"/>
  <c r="I10" i="1"/>
  <c r="I9" i="1"/>
  <c r="I8" i="1"/>
  <c r="I7" i="1"/>
  <c r="I6" i="1"/>
  <c r="I5" i="1"/>
  <c r="I4" i="1"/>
  <c r="I3" i="1"/>
</calcChain>
</file>

<file path=xl/sharedStrings.xml><?xml version="1.0" encoding="utf-8"?>
<sst xmlns="http://schemas.openxmlformats.org/spreadsheetml/2006/main" count="842" uniqueCount="208">
  <si>
    <t>構成ポリシー パラメータシート</t>
  </si>
  <si>
    <t>Policy Name</t>
  </si>
  <si>
    <t>local admin account password policy</t>
  </si>
  <si>
    <t>管理基盤</t>
  </si>
  <si>
    <t>Microsoft Intune</t>
  </si>
  <si>
    <t>ポリシー種別</t>
  </si>
  <si>
    <t>構成ポリシー</t>
  </si>
  <si>
    <t>設定パラメータ</t>
  </si>
  <si>
    <t>#</t>
  </si>
  <si>
    <t>設定カテゴリ / パス</t>
  </si>
  <si>
    <t>設定項目</t>
  </si>
  <si>
    <t>対象</t>
  </si>
  <si>
    <t>設定値</t>
  </si>
  <si>
    <t>備考</t>
  </si>
  <si>
    <t>LAPS</t>
  </si>
  <si>
    <t>バックアップ ディレクトリ</t>
  </si>
  <si>
    <t>Device</t>
  </si>
  <si>
    <t>パスワードを Microsoft Entra ID のみにバックアップする</t>
  </si>
  <si>
    <t>バックアップ ディレクトリ &gt; パスワード有効期間日数</t>
  </si>
  <si>
    <t>管理者アカウント名</t>
  </si>
  <si>
    <t>\.appinst</t>
  </si>
  <si>
    <t>パスワードの複雑さ</t>
  </si>
  <si>
    <t>大文字 + 小文字 + 数字 + 特殊文字</t>
  </si>
  <si>
    <t>パスワードの長さ</t>
  </si>
  <si>
    <t>認証後のアクション</t>
  </si>
  <si>
    <t>パスワードのリセット: 猶予期間が過ぎると、マネージド アカウントのパスワードがリセットされます。</t>
  </si>
  <si>
    <t>自動アカウント管理が有効です</t>
  </si>
  <si>
    <t>ターゲット アカウントは自動的に管理されます</t>
  </si>
  <si>
    <t>LAPS &gt; 自動アカウント管理が有効です</t>
  </si>
  <si>
    <t>自動アカウント管理ランダム化名</t>
  </si>
  <si>
    <t>ターゲット アカウントの名前には、ランダムな数値サフィックスが使用されません。</t>
  </si>
  <si>
    <t>アカウントの自動管理の名前またはプレフィックス</t>
  </si>
  <si>
    <t>appinst</t>
  </si>
  <si>
    <t>アカウントの自動管理でアカウントを有効にする</t>
  </si>
  <si>
    <t>ターゲット アカウントが有効になります</t>
  </si>
  <si>
    <t>自動アカウント管理ターゲット</t>
  </si>
  <si>
    <t>あらかじめ登録された Administrator アカウントの管理</t>
  </si>
  <si>
    <t>割り当て</t>
  </si>
  <si>
    <t>包含されたグループ</t>
  </si>
  <si>
    <t>adfs-test</t>
  </si>
  <si>
    <t>EdgeIEMode</t>
  </si>
  <si>
    <t>管理用テンプレート &gt; Internet Explorer &gt; Internet Control Panel &gt; Security Page &gt; Internet Zone</t>
  </si>
  <si>
    <t>Allow script-initiated windows without size or position constraints</t>
  </si>
  <si>
    <t>Enabled</t>
  </si>
  <si>
    <t>管理用テンプレート &gt; Internet Explorer &gt; Internet Control Panel &gt; Security Page &gt; Internet Zone &gt; Allow script-initiated windows without size or position constraints</t>
  </si>
  <si>
    <t>サイズや位置の制限なしにスクリプトでウィンドウを開くことを許可する</t>
  </si>
  <si>
    <t>有効</t>
  </si>
  <si>
    <t>User</t>
  </si>
  <si>
    <t>Microsoft Edge</t>
  </si>
  <si>
    <t>Allow unconfigured sites to be reloaded in Internet Explorer mode</t>
  </si>
  <si>
    <t>Configure Internet Explorer integration</t>
  </si>
  <si>
    <t xml:space="preserve">Microsoft Edge &gt; Configure Internet Explorer integration </t>
  </si>
  <si>
    <t>Internet Explorer 統合</t>
  </si>
  <si>
    <r>
      <t xml:space="preserve">Internet Explorer </t>
    </r>
    <r>
      <rPr>
        <sz val="11"/>
        <rFont val="Tsukushi A Round Gothic Bold"/>
        <family val="3"/>
      </rPr>
      <t>モード</t>
    </r>
  </si>
  <si>
    <t>Configure the Enterprise Mode Cloud Site List</t>
  </si>
  <si>
    <t xml:space="preserve">Microsoft Edge &gt; Configure the Enterprise Mode Cloud Site List </t>
  </si>
  <si>
    <t>Cloud Site List ID</t>
  </si>
  <si>
    <t>f8834512-7e52-4b05-9bd5-e2057aacc186</t>
  </si>
  <si>
    <t>Send all intranet sites to Internet Explorer</t>
  </si>
  <si>
    <t>Specify how "in-page" navigations to unconfigured sites behave when started from Internet Explorer mode pages</t>
  </si>
  <si>
    <t>Microsoft Edge &gt; Specify how "in-page" navigations to unconfigured sites behave when started from Internet Explorer mode pages</t>
  </si>
  <si>
    <t>Keep all in-page navigations in Internet Explorer mode</t>
  </si>
  <si>
    <t>Microsoft Edge &gt; 証明書管理の設定</t>
  </si>
  <si>
    <t>Use user-added TLS certificates from platform trust stores for server authentication</t>
  </si>
  <si>
    <t>acc_pwd_setting</t>
  </si>
  <si>
    <t>デバイス ロック</t>
  </si>
  <si>
    <t>デバイス パスワードが有効化</t>
  </si>
  <si>
    <t>デバイス ロック &gt; デバイス パスワードが有効化</t>
  </si>
  <si>
    <t>デバイス パスワードの履歴</t>
  </si>
  <si>
    <t>デバイス パスワードの有効期限</t>
  </si>
  <si>
    <t>パスワードの変更禁止期間</t>
  </si>
  <si>
    <t>EdgeBlockAllExtensionsExpSpecificOnes</t>
  </si>
  <si>
    <t>Microsoft Edge &gt; 拡張機能</t>
  </si>
  <si>
    <t>Allow specific extensions to be installed</t>
  </si>
  <si>
    <t>Microsoft Edge &gt; 拡張機能 &gt; Allow specific extensions to be installed</t>
  </si>
  <si>
    <t>禁止リストから除外する拡張子 ID</t>
  </si>
  <si>
    <t>kagpabjoboikccfdghpdlaaopmgpgfdc, hopiajgbpnepghlkfmdonpgdnmcajpeb</t>
  </si>
  <si>
    <t>Control which extensions cannot be installed</t>
  </si>
  <si>
    <t xml:space="preserve">Microsoft Edge &gt; 拡張機能 &gt; Control which extensions cannot be installed </t>
  </si>
  <si>
    <t>ユーザーによるインストールを防ぐ拡張 ID</t>
  </si>
  <si>
    <t>*</t>
  </si>
  <si>
    <t>ScreensaverConfig</t>
  </si>
  <si>
    <t>管理用テンプレート &gt; Personalization</t>
  </si>
  <si>
    <t>Enable screen saver</t>
  </si>
  <si>
    <t>Force specific screen saver</t>
  </si>
  <si>
    <t>管理用テンプレート &gt; Personalization &gt; Force specific screen saver</t>
  </si>
  <si>
    <t>スクリーン セーバーの実行可能ファイル名</t>
  </si>
  <si>
    <t>PhotoScreensaver.scr</t>
  </si>
  <si>
    <t>Password protect the screen saver</t>
  </si>
  <si>
    <t>Prevent changing screen saver</t>
  </si>
  <si>
    <t>Screen saver timeout</t>
  </si>
  <si>
    <t>Screen saver timeout &gt; 時間 (秒)</t>
  </si>
  <si>
    <t>wbcertctrl</t>
  </si>
  <si>
    <t>Clear browsing data when Microsoft Edge closes</t>
  </si>
  <si>
    <t>Save cookies when Microsoft Edge closes</t>
  </si>
  <si>
    <t xml:space="preserve"> [*.]seiho-linc.jp</t>
  </si>
  <si>
    <t>Microsoft Edge &gt; パスワード マネージャーと保護</t>
  </si>
  <si>
    <t>Enable saving passwords to the password manager</t>
  </si>
  <si>
    <t>Disabled</t>
  </si>
  <si>
    <t>管理用テンプレート &gt; Internet Explorer</t>
  </si>
  <si>
    <t>Turn on the auto-complete feature for user names and passwords on forms</t>
  </si>
  <si>
    <t>AutoShareWksdisable</t>
  </si>
  <si>
    <t>管理用テンプレート &gt; MSS (レガシ)</t>
  </si>
  <si>
    <t>MSS: (AutoShareWks) Enable Administrative Shares (recommended except for highly secure environments)</t>
  </si>
  <si>
    <t>IEConfigCompatibilityViewIntranet</t>
  </si>
  <si>
    <t>管理用テンプレート &gt; Internet Explorer &gt; Compatibility View</t>
  </si>
  <si>
    <t>Turn on Internet Explorer Standards Mode for local intranet</t>
  </si>
  <si>
    <t>IEConfig</t>
  </si>
  <si>
    <t>設定値1(Value)</t>
  </si>
  <si>
    <t>設定値2 (Name)</t>
  </si>
  <si>
    <t>管理用テンプレート &gt; Internet Explorer &gt; Internet Control Panel &gt; Security Page</t>
  </si>
  <si>
    <t>Site to Zone Assignment List</t>
  </si>
  <si>
    <t>-</t>
  </si>
  <si>
    <t>サイト-ゾーン割り当て一覧</t>
  </si>
  <si>
    <t>*.aflac.co.jp</t>
  </si>
  <si>
    <t>*.millea.jp</t>
  </si>
  <si>
    <t>*.force.com</t>
  </si>
  <si>
    <t>*.orixlife.co.jp</t>
  </si>
  <si>
    <t>*.axa.co.jp</t>
  </si>
  <si>
    <t>*.tsusan3.cybozu.com</t>
  </si>
  <si>
    <t>*.vsaas.secureinc.co.jp</t>
  </si>
  <si>
    <t>192.168.17.10</t>
  </si>
  <si>
    <t>*.seiho-linc.jp</t>
  </si>
  <si>
    <t>\\192.168.17.10</t>
  </si>
  <si>
    <t>*.netforward-gw.jp</t>
  </si>
  <si>
    <t>*.study.jp</t>
  </si>
  <si>
    <t>*.tokiomarine-nichido.co.jp</t>
  </si>
  <si>
    <t>*.rakurakuseisan.jp</t>
  </si>
  <si>
    <t>http://localhost</t>
  </si>
  <si>
    <t>*.hoken-gw.net</t>
  </si>
  <si>
    <t>http://fm01</t>
  </si>
  <si>
    <t>*.e-tax.nta.go.jp</t>
  </si>
  <si>
    <t>*.visualforce.com</t>
  </si>
  <si>
    <t>https://autologon.microsoftazuread-sso.com</t>
  </si>
  <si>
    <t>https://clientweb.e-tax.nta.go.jp</t>
  </si>
  <si>
    <t>https://kaishi.e-tax.nta.go.jp</t>
  </si>
  <si>
    <t>https://uketsuke.e-tax.nta.go.jp</t>
  </si>
  <si>
    <t>https://dl.e-tax.nta.go.jp</t>
  </si>
  <si>
    <t>https://myna.go.jp</t>
  </si>
  <si>
    <t>https://idfed.myna.go.jp</t>
  </si>
  <si>
    <t>https://img.myna.go.jp</t>
  </si>
  <si>
    <t>https://sry.myna.go.jp</t>
  </si>
  <si>
    <t>Permission for forensic usb</t>
  </si>
  <si>
    <t>管理用テンプレート &gt; Device Installation &gt; Device Installation Restrictions</t>
  </si>
  <si>
    <t>これらのデバイス ID と一致するデバイスのインストールを許可する</t>
  </si>
  <si>
    <t>SCSI\DiskNVMe____KXG60ZNV256G_NVM4107, USBSTOR\Disk_USB_____SanDisk_3.2Gen11.00</t>
  </si>
  <si>
    <t>Allow installation of devices that match any of these device IDs</t>
  </si>
  <si>
    <t>PowershellLogging</t>
  </si>
  <si>
    <t>管理用テンプレート &gt; Windows Power Shell</t>
  </si>
  <si>
    <t>Turn on Module Logging</t>
  </si>
  <si>
    <t>管理用テンプレート &gt; Windows Power Shell &gt; Turn on Module Logging</t>
  </si>
  <si>
    <t>モジュール名</t>
  </si>
  <si>
    <t>Microsoft.WSMan.Management, Microsoft.PowerShell.*</t>
  </si>
  <si>
    <t>Turn on PowerShell Script Block Logging</t>
  </si>
  <si>
    <t>管理用テンプレート &gt; Windows Power Shell &gt; Turn on PowerShell Script Block Logging</t>
  </si>
  <si>
    <t>Log script block invocation start / stop events</t>
  </si>
  <si>
    <t>Turn on PowerShell Transcription</t>
  </si>
  <si>
    <t>管理用テンプレート &gt; Windows Power Shell &gt; Turn on PowerShell Transcription</t>
  </si>
  <si>
    <t>Include invocation headers</t>
  </si>
  <si>
    <t>トランスクリプト出力ディレクトリ</t>
  </si>
  <si>
    <t xml:space="preserve"> C:\Temp</t>
  </si>
  <si>
    <t>OutlookSettings</t>
  </si>
  <si>
    <t>Microsoft Outlook 2016 &gt; その他</t>
  </si>
  <si>
    <t>Prevent users from adding e-mail account types</t>
  </si>
  <si>
    <t>Prevent users from adding Exchange ActiveSync e-mail accounts</t>
  </si>
  <si>
    <t>True</t>
  </si>
  <si>
    <t>Prevent users from adding Exchange e-mail accounts</t>
  </si>
  <si>
    <t>Prevent users from adding IMAP e-mail accounts</t>
  </si>
  <si>
    <t>Prevent users from adding other types of e-mail accounts</t>
  </si>
  <si>
    <t>Prevent users from adding POP3 e-mail accounts</t>
  </si>
  <si>
    <t>Microsoft Outlook 2016 &gt; アカウント設定 &gt; Exchange</t>
  </si>
  <si>
    <t>Do not allow an OST file to be created</t>
  </si>
  <si>
    <t>OfficeAppAutoSave</t>
  </si>
  <si>
    <t>Microsoft Office 2016 &gt; 自動保存</t>
  </si>
  <si>
    <t>Turn off AutoSave by default in Excel</t>
  </si>
  <si>
    <t>AutoSave Is Off By Default</t>
  </si>
  <si>
    <t>Turn off AutoSave by default in PowerPoint</t>
  </si>
  <si>
    <t>Turn off AutoSave by default in Word</t>
  </si>
  <si>
    <t>EdgePopupEnable</t>
  </si>
  <si>
    <t>Microsoft Edge &gt; コンテンツ設定</t>
  </si>
  <si>
    <t>Default pop-up window setting</t>
  </si>
  <si>
    <t>ポップアップ ウィンドウの既定の設定</t>
  </si>
  <si>
    <t>ポップアップの表示をすべてのサイトに許可する</t>
  </si>
  <si>
    <t>BitlockerSetting</t>
  </si>
  <si>
    <t>管理用テンプレート &gt; BitLocker Drive Encryption</t>
  </si>
  <si>
    <t>リムーバブル データ ドライブの暗号化方法</t>
  </si>
  <si>
    <r>
      <t xml:space="preserve">XTS-AES 256 </t>
    </r>
    <r>
      <rPr>
        <sz val="11"/>
        <rFont val="Tsukushi A Round Gothic Bold"/>
        <family val="3"/>
      </rPr>
      <t>ビット</t>
    </r>
  </si>
  <si>
    <t>オペレーティング システム ドライブの暗号化方法</t>
  </si>
  <si>
    <t>固定データ ドライブの暗号化方法</t>
  </si>
  <si>
    <t xml:space="preserve">管理用テンプレート </t>
  </si>
  <si>
    <t>Choose drive encryption method and cipher strength (Windows 10 [Version 1511] and later)</t>
  </si>
  <si>
    <t>Disable RemovableDisk</t>
  </si>
  <si>
    <t>管理用テンプレート &gt; Removable Storage Access</t>
  </si>
  <si>
    <t>CD and DVD: Deny execute access</t>
  </si>
  <si>
    <t>CD and DVD: Deny read access</t>
  </si>
  <si>
    <t>CD and DVD: Deny write access</t>
  </si>
  <si>
    <t>Removable Disks: Deny execute access</t>
  </si>
  <si>
    <t>Removable Disks: Deny read access</t>
  </si>
  <si>
    <t>Removable Disks: Deny write access</t>
  </si>
  <si>
    <t>ストレージ</t>
  </si>
  <si>
    <t>リムーバブル ディスクの書き込みアクセスを拒否する</t>
  </si>
  <si>
    <t>RDPdisable</t>
  </si>
  <si>
    <t>管理用テンプレート &gt; Remote Desktop Services &gt; Remote Desktop Session Host &gt; Connections</t>
  </si>
  <si>
    <t>Allow users to connect remotely by using Remote Desktop Services</t>
  </si>
  <si>
    <t>Disable</t>
  </si>
  <si>
    <t>シート索引</t>
  </si>
  <si>
    <t>No.</t>
  </si>
  <si>
    <t>Sheet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</si>
</sst>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name val="Carlito"/>
    </font>
    <font>
      <b/>
      <sz val="15"/>
      <color rgb="FFFFFFFF"/>
      <name val="Carlito"/>
    </font>
    <font>
      <b/>
      <sz val="11"/>
      <color rgb="FF1F1F1F"/>
      <name val="Carlito"/>
    </font>
    <font>
      <b/>
      <sz val="11"/>
      <color rgb="FFFFFFFF"/>
      <name val="Carlito"/>
    </font>
    <font>
      <sz val="11"/>
      <name val="Carlito"/>
    </font>
    <font>
      <sz val="6"/>
      <name val="Tsukushi A Round Gothic Bold"/>
      <family val="3"/>
      <charset val="128"/>
    </font>
    <font>
      <sz val="11"/>
      <name val="Tsukushi A Round Gothic Bold"/>
      <family val="3"/>
      <charset val="128"/>
    </font>
    <font>
      <b/>
      <sz val="12"/>
      <color rgb="FFFFFFFF"/>
      <name val="Carlito"/>
    </font>
    <font>
      <b/>
      <sz val="11"/>
      <color rgb="FF000000"/>
      <name val="Carlito"/>
    </font>
    <font>
      <sz val="11"/>
      <color rgb="FF0563C1"/>
      <name val="Carlito"/>
    </font>
    <font>
      <sz val="11"/>
      <name val="Tsukushi A Round Gothic Bold"/>
      <family val="3"/>
    </font>
  </fonts>
  <fills count="7">
    <fill>
      <patternFill patternType="none"/>
    </fill>
    <fill>
      <patternFill patternType="gray125"/>
    </fill>
    <fill>
      <patternFill patternType="solid">
        <fgColor rgb="FF1F4E78"/>
      </patternFill>
    </fill>
    <fill>
      <patternFill patternType="solid">
        <fgColor rgb="FFD9EAF7"/>
      </patternFill>
    </fill>
    <fill>
      <patternFill patternType="solid">
        <fgColor rgb="FF5B9BD5"/>
      </patternFill>
    </fill>
    <fill>
      <patternFill patternType="solid">
        <fgColor rgb="FF1F4E78"/>
      </patternFill>
    </fill>
    <fill>
      <patternFill patternType="solid">
        <fgColor rgb="FFD9EAF7"/>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B7B7B7"/>
      </left>
      <right/>
      <top style="thin">
        <color rgb="FFB7B7B7"/>
      </top>
      <bottom/>
      <diagonal/>
    </border>
    <border>
      <left/>
      <right style="thin">
        <color rgb="FFB7B7B7"/>
      </right>
      <top style="thin">
        <color rgb="FFB7B7B7"/>
      </top>
      <bottom/>
      <diagonal/>
    </border>
    <border>
      <left style="thin">
        <color rgb="FFB7B7B7"/>
      </left>
      <right/>
      <top/>
      <bottom/>
      <diagonal/>
    </border>
    <border>
      <left/>
      <right style="thin">
        <color rgb="FFB7B7B7"/>
      </right>
      <top/>
      <bottom/>
      <diagonal/>
    </border>
    <border>
      <left style="thin">
        <color rgb="FFB7B7B7"/>
      </left>
      <right/>
      <top/>
      <bottom style="thin">
        <color rgb="FFB7B7B7"/>
      </bottom>
      <diagonal/>
    </border>
    <border>
      <left/>
      <right style="thin">
        <color rgb="FFB7B7B7"/>
      </right>
      <top/>
      <bottom style="thin">
        <color rgb="FFB7B7B7"/>
      </bottom>
      <diagonal/>
    </border>
  </borders>
  <cellStyleXfs count="2">
    <xf numFmtId="0" fontId="0" fillId="0" borderId="0"/>
    <xf numFmtId="0" fontId="4" fillId="0" borderId="0"/>
  </cellStyleXfs>
  <cellXfs count="30">
    <xf numFmtId="0" fontId="0" fillId="0" borderId="0" xfId="0"/>
    <xf numFmtId="0" fontId="0" fillId="0" borderId="0" xfId="1" applyFont="1" applyAlignment="1">
      <alignment wrapText="1"/>
    </xf>
    <xf numFmtId="0" fontId="0" fillId="0" borderId="0" xfId="1" applyFont="1" applyAlignment="1">
      <alignment vertical="top" wrapText="1"/>
    </xf>
    <xf numFmtId="0" fontId="2" fillId="3" borderId="0" xfId="1" applyFont="1" applyFill="1" applyAlignment="1">
      <alignment horizontal="center" vertical="center" wrapText="1"/>
    </xf>
    <xf numFmtId="0" fontId="0" fillId="0" borderId="0" xfId="1" applyFont="1" applyAlignment="1">
      <alignment horizontal="center" vertical="top" wrapText="1"/>
    </xf>
    <xf numFmtId="0" fontId="2" fillId="3" borderId="0" xfId="1" applyFont="1" applyFill="1" applyAlignment="1">
      <alignment vertical="center" wrapText="1"/>
    </xf>
    <xf numFmtId="0" fontId="0" fillId="0" borderId="0" xfId="0" applyAlignment="1">
      <alignment horizontal="center" vertical="center"/>
    </xf>
    <xf numFmtId="0" fontId="0" fillId="0" borderId="0" xfId="0" applyAlignment="1">
      <alignment horizontal="left" vertical="center"/>
    </xf>
    <xf numFmtId="0" fontId="0" fillId="0" borderId="0" xfId="1" applyFont="1" applyAlignment="1">
      <alignment horizontal="center" vertical="center" wrapText="1"/>
    </xf>
    <xf numFmtId="0" fontId="6" fillId="0" borderId="0" xfId="1" applyFont="1" applyAlignment="1">
      <alignment vertical="top" wrapText="1"/>
    </xf>
    <xf numFmtId="0" fontId="0" fillId="0" borderId="0" xfId="0" applyAlignment="1">
      <alignment vertical="top" wrapText="1"/>
    </xf>
    <xf numFmtId="0" fontId="0" fillId="0" borderId="0" xfId="0" applyAlignment="1">
      <alignment horizontal="center" vertical="top" wrapText="1"/>
    </xf>
    <xf numFmtId="0" fontId="0" fillId="0" borderId="0" xfId="1" applyFont="1" applyAlignment="1">
      <alignment horizontal="left" vertical="top" wrapText="1"/>
    </xf>
    <xf numFmtId="0" fontId="2" fillId="3" borderId="1" xfId="1" applyFont="1" applyFill="1" applyBorder="1" applyAlignment="1">
      <alignment horizontal="center" vertical="center" wrapText="1"/>
    </xf>
    <xf numFmtId="0" fontId="0" fillId="0" borderId="1" xfId="1" applyFont="1" applyBorder="1" applyAlignment="1">
      <alignment horizontal="center" vertical="top" wrapText="1"/>
    </xf>
    <xf numFmtId="0" fontId="0" fillId="0" borderId="1" xfId="1" applyFont="1" applyBorder="1" applyAlignment="1">
      <alignment vertical="top" wrapText="1"/>
    </xf>
    <xf numFmtId="0" fontId="0" fillId="0" borderId="1" xfId="0" applyBorder="1" applyAlignment="1">
      <alignment vertical="top" wrapText="1"/>
    </xf>
    <xf numFmtId="0" fontId="0" fillId="0" borderId="1" xfId="0" applyBorder="1" applyAlignment="1">
      <alignment horizontal="center" vertical="top" wrapText="1"/>
    </xf>
    <xf numFmtId="0" fontId="8" fillId="6" borderId="2" xfId="0" applyFont="1" applyFill="1" applyBorder="1" applyAlignment="1">
      <alignment horizontal="center" vertical="center" wrapText="1"/>
    </xf>
    <xf numFmtId="0" fontId="8" fillId="6" borderId="3" xfId="0" applyFont="1" applyFill="1" applyBorder="1" applyAlignment="1">
      <alignment horizontal="center" vertical="center" wrapText="1"/>
    </xf>
    <xf numFmtId="0" fontId="0" fillId="0" borderId="4" xfId="0" applyBorder="1" applyAlignment="1">
      <alignment horizontal="center" vertical="center" wrapText="1"/>
    </xf>
    <xf numFmtId="0" fontId="9" fillId="0" borderId="5" xfId="0" applyFont="1" applyBorder="1" applyAlignment="1">
      <alignment vertical="center" wrapText="1"/>
    </xf>
    <xf numFmtId="0" fontId="0" fillId="0" borderId="6" xfId="0" applyBorder="1" applyAlignment="1">
      <alignment horizontal="center" vertical="center" wrapText="1"/>
    </xf>
    <xf numFmtId="0" fontId="9" fillId="0" borderId="7" xfId="0" applyFont="1" applyBorder="1" applyAlignment="1">
      <alignment vertical="center" wrapText="1"/>
    </xf>
    <xf numFmtId="0" fontId="0" fillId="0" borderId="8" xfId="0" applyBorder="1" applyAlignment="1">
      <alignment horizontal="center" vertical="center" wrapText="1"/>
    </xf>
    <xf numFmtId="0" fontId="9" fillId="0" borderId="9" xfId="0" applyFont="1" applyBorder="1" applyAlignment="1">
      <alignment vertical="center" wrapText="1"/>
    </xf>
    <xf numFmtId="0" fontId="3" fillId="4" borderId="0" xfId="1" applyFont="1" applyFill="1" applyAlignment="1">
      <alignment horizontal="left" vertical="center" wrapText="1"/>
    </xf>
    <xf numFmtId="0" fontId="1" fillId="2" borderId="0" xfId="1" applyFont="1" applyFill="1" applyAlignment="1">
      <alignment horizontal="left" vertical="center" wrapText="1"/>
    </xf>
    <xf numFmtId="0" fontId="0" fillId="0" borderId="0" xfId="1" applyFont="1" applyAlignment="1">
      <alignment vertical="top" wrapText="1"/>
    </xf>
    <xf numFmtId="0" fontId="7" fillId="5" borderId="0" xfId="0" applyFont="1" applyFill="1" applyAlignment="1">
      <alignment horizontal="left" vertical="center" wrapText="1"/>
    </xf>
  </cellXfs>
  <cellStyles count="2">
    <cellStyle name="Normal" xfId="1" xr:uid="{00000000-0005-0000-0000-000000000000}"/>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0"/>
  <sheetViews>
    <sheetView tabSelected="1" workbookViewId="0">
      <selection activeCell="H1" sqref="H1:I1"/>
    </sheetView>
  </sheetViews>
  <sheetFormatPr baseColWidth="10" defaultColWidth="8.83203125" defaultRowHeight="14"/>
  <cols>
    <col min="1" max="1" width="13" customWidth="1"/>
    <col min="2" max="2" width="34" customWidth="1"/>
    <col min="3" max="3" width="56" customWidth="1"/>
    <col min="4" max="4" width="12" customWidth="1"/>
    <col min="5" max="5" width="38" customWidth="1"/>
    <col min="6" max="6" width="52" customWidth="1"/>
    <col min="8" max="8" width="7" customWidth="1"/>
    <col min="9" max="9" width="38" customWidth="1"/>
  </cols>
  <sheetData>
    <row r="1" spans="1:9" ht="37.25" customHeight="1">
      <c r="A1" s="27" t="s">
        <v>0</v>
      </c>
      <c r="B1" s="27"/>
      <c r="C1" s="27"/>
      <c r="D1" s="27"/>
      <c r="E1" s="27"/>
      <c r="F1" s="27"/>
      <c r="H1" s="29" t="s">
        <v>205</v>
      </c>
      <c r="I1" s="29"/>
    </row>
    <row r="2" spans="1:9" ht="16">
      <c r="A2" s="1"/>
      <c r="B2" s="1"/>
      <c r="C2" s="1"/>
      <c r="D2" s="1"/>
      <c r="E2" s="1"/>
      <c r="F2" s="1"/>
      <c r="H2" s="18" t="s">
        <v>206</v>
      </c>
      <c r="I2" s="19" t="s">
        <v>207</v>
      </c>
    </row>
    <row r="3" spans="1:9" ht="39" customHeight="1">
      <c r="A3" s="5" t="s">
        <v>1</v>
      </c>
      <c r="B3" s="28" t="s">
        <v>2</v>
      </c>
      <c r="C3" s="28"/>
      <c r="D3" s="28"/>
      <c r="E3" s="28"/>
      <c r="F3" s="28"/>
      <c r="H3" s="20">
        <v>1</v>
      </c>
      <c r="I3" s="21" t="str">
        <f>HYPERLINK("#'EdgeIEMode'!A1","EdgeIEMode")</f>
        <v>EdgeIEMode</v>
      </c>
    </row>
    <row r="4" spans="1:9" ht="39" customHeight="1">
      <c r="A4" s="5" t="s">
        <v>3</v>
      </c>
      <c r="B4" s="28" t="s">
        <v>4</v>
      </c>
      <c r="C4" s="28"/>
      <c r="D4" s="28"/>
      <c r="E4" s="28"/>
      <c r="F4" s="28"/>
      <c r="H4" s="22">
        <v>2</v>
      </c>
      <c r="I4" s="23" t="str">
        <f>HYPERLINK("#'acc_pwd_setting'!A1","acc_pwd_setting")</f>
        <v>acc_pwd_setting</v>
      </c>
    </row>
    <row r="5" spans="1:9" ht="39" customHeight="1">
      <c r="A5" s="5" t="s">
        <v>5</v>
      </c>
      <c r="B5" s="28" t="s">
        <v>6</v>
      </c>
      <c r="C5" s="28"/>
      <c r="D5" s="28"/>
      <c r="E5" s="28"/>
      <c r="F5" s="28"/>
      <c r="H5" s="22">
        <v>3</v>
      </c>
      <c r="I5" s="23" t="str">
        <f>HYPERLINK("#'EdgeBlockAllExtensionsExpSpecif'!A1","EdgeBlockAllExtensionsExpSpecif")</f>
        <v>EdgeBlockAllExtensionsExpSpecif</v>
      </c>
    </row>
    <row r="6" spans="1:9">
      <c r="A6" s="1"/>
      <c r="B6" s="1"/>
      <c r="C6" s="1"/>
      <c r="D6" s="1"/>
      <c r="E6" s="1"/>
      <c r="F6" s="1"/>
      <c r="H6" s="22">
        <v>4</v>
      </c>
      <c r="I6" s="23" t="str">
        <f>HYPERLINK("#'ScreensaverConfig'!A1","ScreensaverConfig")</f>
        <v>ScreensaverConfig</v>
      </c>
    </row>
    <row r="7" spans="1:9" ht="15">
      <c r="A7" s="26" t="s">
        <v>7</v>
      </c>
      <c r="B7" s="26"/>
      <c r="C7" s="26"/>
      <c r="D7" s="26"/>
      <c r="E7" s="26"/>
      <c r="F7" s="26"/>
      <c r="H7" s="22">
        <v>5</v>
      </c>
      <c r="I7" s="23" t="str">
        <f>HYPERLINK("#'wbcertctrl'!A1","wbcertctrl")</f>
        <v>wbcertctrl</v>
      </c>
    </row>
    <row r="8" spans="1:9" ht="46.25" customHeight="1">
      <c r="A8" s="13" t="s">
        <v>8</v>
      </c>
      <c r="B8" s="13" t="s">
        <v>9</v>
      </c>
      <c r="C8" s="13" t="s">
        <v>10</v>
      </c>
      <c r="D8" s="13" t="s">
        <v>11</v>
      </c>
      <c r="E8" s="13" t="s">
        <v>12</v>
      </c>
      <c r="F8" s="13" t="s">
        <v>13</v>
      </c>
      <c r="H8" s="22">
        <v>6</v>
      </c>
      <c r="I8" s="23" t="str">
        <f>HYPERLINK("#'AutoShareWksdisable'!A1","AutoShareWksdisable")</f>
        <v>AutoShareWksdisable</v>
      </c>
    </row>
    <row r="9" spans="1:9" ht="47" customHeight="1">
      <c r="A9" s="14">
        <v>1</v>
      </c>
      <c r="B9" s="15" t="s">
        <v>14</v>
      </c>
      <c r="C9" s="15" t="s">
        <v>15</v>
      </c>
      <c r="D9" s="14" t="s">
        <v>16</v>
      </c>
      <c r="E9" s="15" t="s">
        <v>17</v>
      </c>
      <c r="F9" s="15"/>
      <c r="H9" s="22">
        <v>7</v>
      </c>
      <c r="I9" s="23" t="str">
        <f>HYPERLINK("#'IEConfigCompatibilityViewIntran'!A1","IEConfigCompatibilityViewIntran")</f>
        <v>IEConfigCompatibilityViewIntran</v>
      </c>
    </row>
    <row r="10" spans="1:9" ht="26.75" customHeight="1">
      <c r="A10" s="14">
        <v>2</v>
      </c>
      <c r="B10" s="15" t="s">
        <v>14</v>
      </c>
      <c r="C10" s="15" t="s">
        <v>18</v>
      </c>
      <c r="D10" s="14" t="s">
        <v>16</v>
      </c>
      <c r="E10" s="15">
        <v>90</v>
      </c>
      <c r="F10" s="15"/>
      <c r="H10" s="22">
        <v>8</v>
      </c>
      <c r="I10" s="23" t="str">
        <f>HYPERLINK("#'IEConfig'!A1","IEConfig")</f>
        <v>IEConfig</v>
      </c>
    </row>
    <row r="11" spans="1:9" ht="26.75" customHeight="1">
      <c r="A11" s="14">
        <v>3</v>
      </c>
      <c r="B11" s="15" t="s">
        <v>14</v>
      </c>
      <c r="C11" s="15" t="s">
        <v>19</v>
      </c>
      <c r="D11" s="14" t="s">
        <v>16</v>
      </c>
      <c r="E11" s="15" t="s">
        <v>20</v>
      </c>
      <c r="F11" s="15"/>
      <c r="H11" s="22">
        <v>9</v>
      </c>
      <c r="I11" s="23" t="str">
        <f>HYPERLINK("#'Permission for forensic usb'!A1","Permission for forensic usb")</f>
        <v>Permission for forensic usb</v>
      </c>
    </row>
    <row r="12" spans="1:9" ht="26.75" customHeight="1">
      <c r="A12" s="14">
        <v>4</v>
      </c>
      <c r="B12" s="15" t="s">
        <v>14</v>
      </c>
      <c r="C12" s="15" t="s">
        <v>21</v>
      </c>
      <c r="D12" s="14" t="s">
        <v>16</v>
      </c>
      <c r="E12" s="15" t="s">
        <v>22</v>
      </c>
      <c r="F12" s="15"/>
      <c r="H12" s="22">
        <v>10</v>
      </c>
      <c r="I12" s="23" t="str">
        <f>HYPERLINK("#'PowershellLogging'!A1","PowershellLogging")</f>
        <v>PowershellLogging</v>
      </c>
    </row>
    <row r="13" spans="1:9" ht="26.75" customHeight="1">
      <c r="A13" s="14">
        <v>5</v>
      </c>
      <c r="B13" s="15" t="s">
        <v>14</v>
      </c>
      <c r="C13" s="15" t="s">
        <v>23</v>
      </c>
      <c r="D13" s="14" t="s">
        <v>16</v>
      </c>
      <c r="E13" s="15">
        <v>15</v>
      </c>
      <c r="F13" s="15"/>
      <c r="H13" s="22">
        <v>11</v>
      </c>
      <c r="I13" s="23" t="str">
        <f>HYPERLINK("#'OutlookSettings'!A1","OutlookSettings")</f>
        <v>OutlookSettings</v>
      </c>
    </row>
    <row r="14" spans="1:9" ht="93.75" customHeight="1">
      <c r="A14" s="14">
        <v>6</v>
      </c>
      <c r="B14" s="15" t="s">
        <v>14</v>
      </c>
      <c r="C14" s="15" t="s">
        <v>24</v>
      </c>
      <c r="D14" s="14" t="s">
        <v>16</v>
      </c>
      <c r="E14" s="15" t="s">
        <v>25</v>
      </c>
      <c r="F14" s="15"/>
      <c r="H14" s="22">
        <v>12</v>
      </c>
      <c r="I14" s="23" t="str">
        <f>HYPERLINK("#'OfficeAppAutoSave'!A1","OfficeAppAutoSave")</f>
        <v>OfficeAppAutoSave</v>
      </c>
    </row>
    <row r="15" spans="1:9" ht="47" customHeight="1">
      <c r="A15" s="14">
        <v>7</v>
      </c>
      <c r="B15" s="15" t="s">
        <v>14</v>
      </c>
      <c r="C15" s="15" t="s">
        <v>26</v>
      </c>
      <c r="D15" s="14" t="s">
        <v>16</v>
      </c>
      <c r="E15" s="15" t="s">
        <v>27</v>
      </c>
      <c r="F15" s="15"/>
      <c r="H15" s="22">
        <v>13</v>
      </c>
      <c r="I15" s="23" t="str">
        <f>HYPERLINK("#'EdgePopupEnable'!A1","EdgePopupEnable")</f>
        <v>EdgePopupEnable</v>
      </c>
    </row>
    <row r="16" spans="1:9" ht="70.25" customHeight="1">
      <c r="A16" s="14">
        <v>8</v>
      </c>
      <c r="B16" s="15" t="s">
        <v>28</v>
      </c>
      <c r="C16" s="15" t="s">
        <v>29</v>
      </c>
      <c r="D16" s="14" t="s">
        <v>16</v>
      </c>
      <c r="E16" s="15" t="s">
        <v>30</v>
      </c>
      <c r="F16" s="15"/>
      <c r="H16" s="22">
        <v>14</v>
      </c>
      <c r="I16" s="23" t="str">
        <f>HYPERLINK("#'BitlockerSetting'!A1","BitlockerSetting")</f>
        <v>BitlockerSetting</v>
      </c>
    </row>
    <row r="17" spans="1:9" ht="26.75" customHeight="1">
      <c r="A17" s="14">
        <v>9</v>
      </c>
      <c r="B17" s="15" t="s">
        <v>28</v>
      </c>
      <c r="C17" s="15" t="s">
        <v>31</v>
      </c>
      <c r="D17" s="14" t="s">
        <v>16</v>
      </c>
      <c r="E17" s="15" t="s">
        <v>32</v>
      </c>
      <c r="F17" s="15"/>
      <c r="H17" s="22">
        <v>15</v>
      </c>
      <c r="I17" s="23" t="str">
        <f>HYPERLINK("#'Disable RemovableDisk'!A1","Disable RemovableDisk")</f>
        <v>Disable RemovableDisk</v>
      </c>
    </row>
    <row r="18" spans="1:9" ht="26.75" customHeight="1">
      <c r="A18" s="14">
        <v>10</v>
      </c>
      <c r="B18" s="15" t="s">
        <v>28</v>
      </c>
      <c r="C18" s="15" t="s">
        <v>33</v>
      </c>
      <c r="D18" s="14" t="s">
        <v>16</v>
      </c>
      <c r="E18" s="15" t="s">
        <v>34</v>
      </c>
      <c r="F18" s="15"/>
      <c r="H18" s="24">
        <v>16</v>
      </c>
      <c r="I18" s="25" t="str">
        <f>HYPERLINK("#'RDPdisable'!A1","RDPdisable")</f>
        <v>RDPdisable</v>
      </c>
    </row>
    <row r="19" spans="1:9" ht="47" customHeight="1">
      <c r="A19" s="14">
        <v>11</v>
      </c>
      <c r="B19" s="15" t="s">
        <v>28</v>
      </c>
      <c r="C19" s="15" t="s">
        <v>35</v>
      </c>
      <c r="D19" s="14" t="s">
        <v>16</v>
      </c>
      <c r="E19" s="15" t="s">
        <v>36</v>
      </c>
      <c r="F19" s="15"/>
    </row>
    <row r="20" spans="1:9" ht="15">
      <c r="A20" s="14">
        <v>12</v>
      </c>
      <c r="B20" s="16" t="s">
        <v>37</v>
      </c>
      <c r="C20" s="16" t="s">
        <v>38</v>
      </c>
      <c r="D20" s="17" t="s">
        <v>16</v>
      </c>
      <c r="E20" s="16" t="s">
        <v>39</v>
      </c>
      <c r="F20" s="15"/>
    </row>
  </sheetData>
  <mergeCells count="6">
    <mergeCell ref="H1:I1"/>
    <mergeCell ref="A7:F7"/>
    <mergeCell ref="A1:F1"/>
    <mergeCell ref="B3:F3"/>
    <mergeCell ref="B4:F4"/>
    <mergeCell ref="B5:F5"/>
  </mergeCells>
  <phoneticPr fontId="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2"/>
  <sheetViews>
    <sheetView workbookViewId="0"/>
  </sheetViews>
  <sheetFormatPr baseColWidth="10" defaultColWidth="8.83203125" defaultRowHeight="14"/>
  <cols>
    <col min="1" max="1" width="13" customWidth="1"/>
    <col min="2" max="2" width="41.6640625" customWidth="1"/>
    <col min="3" max="3" width="59" customWidth="1"/>
    <col min="4" max="4" width="12" customWidth="1"/>
    <col min="5" max="5" width="38" customWidth="1"/>
    <col min="6" max="6" width="52" customWidth="1"/>
  </cols>
  <sheetData>
    <row r="1" spans="1:6" ht="49.75" customHeight="1">
      <c r="A1" s="27" t="s">
        <v>0</v>
      </c>
      <c r="B1" s="27"/>
      <c r="C1" s="27"/>
      <c r="D1" s="27"/>
      <c r="E1" s="27"/>
      <c r="F1" s="27"/>
    </row>
    <row r="2" spans="1:6">
      <c r="A2" s="1"/>
      <c r="B2" s="1"/>
      <c r="C2" s="1"/>
      <c r="D2" s="1"/>
      <c r="E2" s="1"/>
      <c r="F2" s="1"/>
    </row>
    <row r="3" spans="1:6" ht="39" customHeight="1">
      <c r="A3" s="5" t="s">
        <v>1</v>
      </c>
      <c r="B3" s="28" t="s">
        <v>40</v>
      </c>
      <c r="C3" s="28"/>
      <c r="D3" s="28"/>
      <c r="E3" s="28"/>
      <c r="F3" s="28"/>
    </row>
    <row r="4" spans="1:6" ht="39" customHeight="1">
      <c r="A4" s="5" t="s">
        <v>3</v>
      </c>
      <c r="B4" s="28" t="s">
        <v>4</v>
      </c>
      <c r="C4" s="28"/>
      <c r="D4" s="28"/>
      <c r="E4" s="28"/>
      <c r="F4" s="28"/>
    </row>
    <row r="5" spans="1:6" ht="39" customHeight="1">
      <c r="A5" s="5" t="s">
        <v>5</v>
      </c>
      <c r="B5" s="28" t="s">
        <v>6</v>
      </c>
      <c r="C5" s="28"/>
      <c r="D5" s="28"/>
      <c r="E5" s="28"/>
      <c r="F5" s="28"/>
    </row>
    <row r="6" spans="1:6">
      <c r="A6" s="1"/>
      <c r="B6" s="1"/>
      <c r="C6" s="1"/>
      <c r="D6" s="1"/>
      <c r="E6" s="1"/>
      <c r="F6" s="1"/>
    </row>
    <row r="7" spans="1:6" ht="15">
      <c r="A7" s="26" t="s">
        <v>7</v>
      </c>
      <c r="B7" s="26"/>
      <c r="C7" s="26"/>
      <c r="D7" s="26"/>
      <c r="E7" s="26"/>
      <c r="F7" s="26"/>
    </row>
    <row r="8" spans="1:6" ht="46.25" customHeight="1">
      <c r="A8" s="13" t="s">
        <v>8</v>
      </c>
      <c r="B8" s="13" t="s">
        <v>9</v>
      </c>
      <c r="C8" s="13" t="s">
        <v>10</v>
      </c>
      <c r="D8" s="13" t="s">
        <v>11</v>
      </c>
      <c r="E8" s="13" t="s">
        <v>12</v>
      </c>
      <c r="F8" s="13" t="s">
        <v>13</v>
      </c>
    </row>
    <row r="9" spans="1:6" ht="30">
      <c r="A9" s="14">
        <v>1</v>
      </c>
      <c r="B9" s="15" t="s">
        <v>41</v>
      </c>
      <c r="C9" s="15" t="s">
        <v>42</v>
      </c>
      <c r="D9" s="14" t="s">
        <v>16</v>
      </c>
      <c r="E9" s="15" t="s">
        <v>43</v>
      </c>
      <c r="F9" s="15"/>
    </row>
    <row r="10" spans="1:6" ht="60">
      <c r="A10" s="14">
        <v>2</v>
      </c>
      <c r="B10" s="15" t="s">
        <v>44</v>
      </c>
      <c r="C10" s="15" t="s">
        <v>45</v>
      </c>
      <c r="D10" s="14" t="s">
        <v>16</v>
      </c>
      <c r="E10" s="15" t="s">
        <v>46</v>
      </c>
      <c r="F10" s="15"/>
    </row>
    <row r="11" spans="1:6" ht="30">
      <c r="A11" s="14">
        <v>3</v>
      </c>
      <c r="B11" s="15" t="s">
        <v>41</v>
      </c>
      <c r="C11" s="15" t="s">
        <v>42</v>
      </c>
      <c r="D11" s="14" t="s">
        <v>47</v>
      </c>
      <c r="E11" s="15" t="s">
        <v>43</v>
      </c>
      <c r="F11" s="15"/>
    </row>
    <row r="12" spans="1:6" ht="60">
      <c r="A12" s="14">
        <v>4</v>
      </c>
      <c r="B12" s="15" t="s">
        <v>44</v>
      </c>
      <c r="C12" s="15" t="s">
        <v>45</v>
      </c>
      <c r="D12" s="14" t="s">
        <v>47</v>
      </c>
      <c r="E12" s="15" t="s">
        <v>46</v>
      </c>
      <c r="F12" s="15"/>
    </row>
    <row r="13" spans="1:6" ht="26.75" customHeight="1">
      <c r="A13" s="14">
        <v>5</v>
      </c>
      <c r="B13" s="15" t="s">
        <v>48</v>
      </c>
      <c r="C13" s="15" t="s">
        <v>49</v>
      </c>
      <c r="D13" s="14" t="s">
        <v>16</v>
      </c>
      <c r="E13" s="15" t="s">
        <v>43</v>
      </c>
      <c r="F13" s="15"/>
    </row>
    <row r="14" spans="1:6" ht="26.75" customHeight="1">
      <c r="A14" s="14">
        <v>6</v>
      </c>
      <c r="B14" s="15" t="s">
        <v>48</v>
      </c>
      <c r="C14" s="15" t="s">
        <v>49</v>
      </c>
      <c r="D14" s="14" t="s">
        <v>47</v>
      </c>
      <c r="E14" s="15" t="s">
        <v>43</v>
      </c>
      <c r="F14" s="15"/>
    </row>
    <row r="15" spans="1:6" ht="26.75" customHeight="1">
      <c r="A15" s="14">
        <v>7</v>
      </c>
      <c r="B15" s="15" t="s">
        <v>48</v>
      </c>
      <c r="C15" s="15" t="s">
        <v>50</v>
      </c>
      <c r="D15" s="14" t="s">
        <v>16</v>
      </c>
      <c r="E15" s="15" t="s">
        <v>43</v>
      </c>
      <c r="F15" s="15"/>
    </row>
    <row r="16" spans="1:6" ht="30">
      <c r="A16" s="14">
        <v>8</v>
      </c>
      <c r="B16" s="15" t="s">
        <v>51</v>
      </c>
      <c r="C16" s="15" t="s">
        <v>52</v>
      </c>
      <c r="D16" s="14" t="s">
        <v>16</v>
      </c>
      <c r="E16" s="15" t="s">
        <v>53</v>
      </c>
      <c r="F16" s="15"/>
    </row>
    <row r="17" spans="1:6" ht="26.75" customHeight="1">
      <c r="A17" s="14">
        <v>9</v>
      </c>
      <c r="B17" s="15" t="s">
        <v>48</v>
      </c>
      <c r="C17" s="15" t="s">
        <v>50</v>
      </c>
      <c r="D17" s="14" t="s">
        <v>47</v>
      </c>
      <c r="E17" s="15" t="s">
        <v>43</v>
      </c>
      <c r="F17" s="15"/>
    </row>
    <row r="18" spans="1:6" ht="30">
      <c r="A18" s="14">
        <v>10</v>
      </c>
      <c r="B18" s="15" t="s">
        <v>51</v>
      </c>
      <c r="C18" s="15" t="s">
        <v>52</v>
      </c>
      <c r="D18" s="14" t="s">
        <v>47</v>
      </c>
      <c r="E18" s="15" t="s">
        <v>53</v>
      </c>
      <c r="F18" s="15"/>
    </row>
    <row r="19" spans="1:6" ht="26.75" customHeight="1">
      <c r="A19" s="14">
        <v>11</v>
      </c>
      <c r="B19" s="15" t="s">
        <v>48</v>
      </c>
      <c r="C19" s="15" t="s">
        <v>54</v>
      </c>
      <c r="D19" s="14" t="s">
        <v>16</v>
      </c>
      <c r="E19" s="15" t="s">
        <v>43</v>
      </c>
      <c r="F19" s="15"/>
    </row>
    <row r="20" spans="1:6" ht="30">
      <c r="A20" s="14">
        <v>12</v>
      </c>
      <c r="B20" s="15" t="s">
        <v>55</v>
      </c>
      <c r="C20" s="15" t="s">
        <v>56</v>
      </c>
      <c r="D20" s="14" t="s">
        <v>16</v>
      </c>
      <c r="E20" s="15" t="s">
        <v>57</v>
      </c>
      <c r="F20" s="15"/>
    </row>
    <row r="21" spans="1:6" ht="26.75" customHeight="1">
      <c r="A21" s="14">
        <v>13</v>
      </c>
      <c r="B21" s="15" t="s">
        <v>48</v>
      </c>
      <c r="C21" s="15" t="s">
        <v>54</v>
      </c>
      <c r="D21" s="14" t="s">
        <v>47</v>
      </c>
      <c r="E21" s="15" t="s">
        <v>43</v>
      </c>
      <c r="F21" s="15"/>
    </row>
    <row r="22" spans="1:6" ht="30">
      <c r="A22" s="14">
        <v>14</v>
      </c>
      <c r="B22" s="15" t="s">
        <v>55</v>
      </c>
      <c r="C22" s="15" t="s">
        <v>56</v>
      </c>
      <c r="D22" s="14" t="s">
        <v>47</v>
      </c>
      <c r="E22" s="15" t="s">
        <v>57</v>
      </c>
      <c r="F22" s="15"/>
    </row>
    <row r="23" spans="1:6" ht="26.75" customHeight="1">
      <c r="A23" s="14">
        <v>15</v>
      </c>
      <c r="B23" s="15" t="s">
        <v>48</v>
      </c>
      <c r="C23" s="15" t="s">
        <v>58</v>
      </c>
      <c r="D23" s="14" t="s">
        <v>16</v>
      </c>
      <c r="E23" s="15" t="s">
        <v>43</v>
      </c>
      <c r="F23" s="15"/>
    </row>
    <row r="24" spans="1:6" ht="26.75" customHeight="1">
      <c r="A24" s="14">
        <v>16</v>
      </c>
      <c r="B24" s="15" t="s">
        <v>48</v>
      </c>
      <c r="C24" s="15" t="s">
        <v>58</v>
      </c>
      <c r="D24" s="14" t="s">
        <v>47</v>
      </c>
      <c r="E24" s="15" t="s">
        <v>43</v>
      </c>
      <c r="F24" s="15"/>
    </row>
    <row r="25" spans="1:6" ht="30">
      <c r="A25" s="14">
        <v>17</v>
      </c>
      <c r="B25" s="15" t="s">
        <v>48</v>
      </c>
      <c r="C25" s="15" t="s">
        <v>59</v>
      </c>
      <c r="D25" s="14" t="s">
        <v>16</v>
      </c>
      <c r="E25" s="15" t="s">
        <v>43</v>
      </c>
      <c r="F25" s="15"/>
    </row>
    <row r="26" spans="1:6" ht="45">
      <c r="A26" s="14">
        <v>18</v>
      </c>
      <c r="B26" s="15" t="s">
        <v>60</v>
      </c>
      <c r="C26" s="15" t="s">
        <v>59</v>
      </c>
      <c r="D26" s="14" t="s">
        <v>16</v>
      </c>
      <c r="E26" s="15" t="s">
        <v>61</v>
      </c>
      <c r="F26" s="15"/>
    </row>
    <row r="27" spans="1:6" ht="47" customHeight="1">
      <c r="A27" s="14">
        <v>19</v>
      </c>
      <c r="B27" s="15" t="s">
        <v>48</v>
      </c>
      <c r="C27" s="15" t="s">
        <v>59</v>
      </c>
      <c r="D27" s="14" t="s">
        <v>47</v>
      </c>
      <c r="E27" s="15" t="s">
        <v>43</v>
      </c>
      <c r="F27" s="15"/>
    </row>
    <row r="28" spans="1:6" ht="45">
      <c r="A28" s="14">
        <v>20</v>
      </c>
      <c r="B28" s="15" t="s">
        <v>60</v>
      </c>
      <c r="C28" s="15" t="s">
        <v>59</v>
      </c>
      <c r="D28" s="14" t="s">
        <v>47</v>
      </c>
      <c r="E28" s="15" t="s">
        <v>61</v>
      </c>
      <c r="F28" s="15"/>
    </row>
    <row r="29" spans="1:6" ht="47" customHeight="1">
      <c r="A29" s="14">
        <v>21</v>
      </c>
      <c r="B29" s="15" t="s">
        <v>62</v>
      </c>
      <c r="C29" s="15" t="s">
        <v>63</v>
      </c>
      <c r="D29" s="14" t="s">
        <v>16</v>
      </c>
      <c r="E29" s="15" t="s">
        <v>43</v>
      </c>
      <c r="F29" s="15"/>
    </row>
    <row r="30" spans="1:6" ht="47" customHeight="1">
      <c r="A30" s="14">
        <v>22</v>
      </c>
      <c r="B30" s="15" t="s">
        <v>62</v>
      </c>
      <c r="C30" s="15" t="s">
        <v>63</v>
      </c>
      <c r="D30" s="14" t="s">
        <v>47</v>
      </c>
      <c r="E30" s="15" t="s">
        <v>43</v>
      </c>
      <c r="F30" s="15"/>
    </row>
    <row r="31" spans="1:6" ht="47" customHeight="1">
      <c r="A31" s="14">
        <v>23</v>
      </c>
      <c r="B31" s="16" t="s">
        <v>37</v>
      </c>
      <c r="C31" s="16" t="s">
        <v>38</v>
      </c>
      <c r="D31" s="17" t="s">
        <v>16</v>
      </c>
      <c r="E31" s="16" t="s">
        <v>39</v>
      </c>
      <c r="F31" s="15"/>
    </row>
    <row r="32" spans="1:6">
      <c r="B32" s="2"/>
      <c r="C32" s="2"/>
      <c r="D32" s="4"/>
      <c r="E32" s="2"/>
      <c r="F32" s="2"/>
    </row>
  </sheetData>
  <mergeCells count="5">
    <mergeCell ref="A7:F7"/>
    <mergeCell ref="A1:F1"/>
    <mergeCell ref="B3:F3"/>
    <mergeCell ref="B4:F4"/>
    <mergeCell ref="B5:F5"/>
  </mergeCells>
  <phoneticPr fontId="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4"/>
  <sheetViews>
    <sheetView workbookViewId="0">
      <selection sqref="A1:F1"/>
    </sheetView>
  </sheetViews>
  <sheetFormatPr baseColWidth="10" defaultColWidth="8.83203125" defaultRowHeight="14"/>
  <cols>
    <col min="1" max="1" width="13" customWidth="1"/>
    <col min="2" max="2" width="34" customWidth="1"/>
    <col min="3" max="3" width="56" customWidth="1"/>
    <col min="4" max="4" width="12" customWidth="1"/>
    <col min="5" max="5" width="38" customWidth="1"/>
    <col min="6" max="6" width="52" customWidth="1"/>
  </cols>
  <sheetData>
    <row r="1" spans="1:6" ht="49.75" customHeight="1">
      <c r="A1" s="27" t="s">
        <v>0</v>
      </c>
      <c r="B1" s="27"/>
      <c r="C1" s="27"/>
      <c r="D1" s="27"/>
      <c r="E1" s="27"/>
      <c r="F1" s="27"/>
    </row>
    <row r="2" spans="1:6">
      <c r="A2" s="1"/>
      <c r="B2" s="1"/>
      <c r="C2" s="1"/>
      <c r="D2" s="1"/>
      <c r="E2" s="1"/>
      <c r="F2" s="1"/>
    </row>
    <row r="3" spans="1:6" ht="39" customHeight="1">
      <c r="A3" s="5" t="s">
        <v>1</v>
      </c>
      <c r="B3" s="28" t="s">
        <v>64</v>
      </c>
      <c r="C3" s="28"/>
      <c r="D3" s="28"/>
      <c r="E3" s="28"/>
      <c r="F3" s="28"/>
    </row>
    <row r="4" spans="1:6" ht="39" customHeight="1">
      <c r="A4" s="5" t="s">
        <v>3</v>
      </c>
      <c r="B4" s="28" t="s">
        <v>4</v>
      </c>
      <c r="C4" s="28"/>
      <c r="D4" s="28"/>
      <c r="E4" s="28"/>
      <c r="F4" s="28"/>
    </row>
    <row r="5" spans="1:6" ht="39" customHeight="1">
      <c r="A5" s="5" t="s">
        <v>5</v>
      </c>
      <c r="B5" s="28" t="s">
        <v>6</v>
      </c>
      <c r="C5" s="28"/>
      <c r="D5" s="28"/>
      <c r="E5" s="28"/>
      <c r="F5" s="28"/>
    </row>
    <row r="6" spans="1:6">
      <c r="A6" s="1"/>
      <c r="B6" s="1"/>
      <c r="C6" s="1"/>
      <c r="D6" s="1"/>
      <c r="E6" s="1"/>
      <c r="F6" s="1"/>
    </row>
    <row r="7" spans="1:6" ht="15">
      <c r="A7" s="26" t="s">
        <v>7</v>
      </c>
      <c r="B7" s="26"/>
      <c r="C7" s="26"/>
      <c r="D7" s="26"/>
      <c r="E7" s="26"/>
      <c r="F7" s="26"/>
    </row>
    <row r="8" spans="1:6" ht="46.25" customHeight="1">
      <c r="A8" s="3" t="s">
        <v>8</v>
      </c>
      <c r="B8" s="3" t="s">
        <v>9</v>
      </c>
      <c r="C8" s="3" t="s">
        <v>10</v>
      </c>
      <c r="D8" s="3" t="s">
        <v>11</v>
      </c>
      <c r="E8" s="3" t="s">
        <v>12</v>
      </c>
      <c r="F8" s="3" t="s">
        <v>13</v>
      </c>
    </row>
    <row r="9" spans="1:6" ht="26.75" customHeight="1">
      <c r="A9" s="4">
        <v>1</v>
      </c>
      <c r="B9" s="2" t="s">
        <v>65</v>
      </c>
      <c r="C9" s="2" t="s">
        <v>66</v>
      </c>
      <c r="D9" s="4" t="s">
        <v>16</v>
      </c>
      <c r="E9" s="2" t="s">
        <v>46</v>
      </c>
      <c r="F9" s="2"/>
    </row>
    <row r="10" spans="1:6" ht="30">
      <c r="A10" s="4">
        <v>2</v>
      </c>
      <c r="B10" s="2" t="s">
        <v>67</v>
      </c>
      <c r="C10" s="2" t="s">
        <v>68</v>
      </c>
      <c r="D10" s="4" t="s">
        <v>16</v>
      </c>
      <c r="E10" s="12">
        <v>13</v>
      </c>
      <c r="F10" s="2"/>
    </row>
    <row r="11" spans="1:6" ht="30">
      <c r="A11" s="4">
        <v>3</v>
      </c>
      <c r="B11" s="2" t="s">
        <v>67</v>
      </c>
      <c r="C11" s="2" t="s">
        <v>69</v>
      </c>
      <c r="D11" s="4" t="s">
        <v>16</v>
      </c>
      <c r="E11" s="12">
        <v>0</v>
      </c>
      <c r="F11" s="2"/>
    </row>
    <row r="12" spans="1:6" ht="26.75" customHeight="1">
      <c r="A12" s="4">
        <v>4</v>
      </c>
      <c r="B12" s="2" t="s">
        <v>65</v>
      </c>
      <c r="C12" s="2" t="s">
        <v>70</v>
      </c>
      <c r="D12" s="4" t="s">
        <v>16</v>
      </c>
      <c r="E12" s="12">
        <v>0</v>
      </c>
      <c r="F12" s="2"/>
    </row>
    <row r="13" spans="1:6" ht="26.75" customHeight="1">
      <c r="A13" s="4">
        <v>5</v>
      </c>
      <c r="B13" s="2" t="s">
        <v>65</v>
      </c>
      <c r="C13" s="2" t="s">
        <v>21</v>
      </c>
      <c r="D13" s="4" t="s">
        <v>16</v>
      </c>
      <c r="E13" s="12">
        <v>1</v>
      </c>
      <c r="F13" s="2"/>
    </row>
    <row r="14" spans="1:6" ht="15">
      <c r="A14" s="4">
        <v>6</v>
      </c>
      <c r="B14" s="10" t="s">
        <v>37</v>
      </c>
      <c r="C14" s="10" t="s">
        <v>38</v>
      </c>
      <c r="D14" s="11" t="s">
        <v>16</v>
      </c>
      <c r="E14" s="10" t="s">
        <v>39</v>
      </c>
    </row>
  </sheetData>
  <mergeCells count="5">
    <mergeCell ref="A7:F7"/>
    <mergeCell ref="A1:F1"/>
    <mergeCell ref="B3:F3"/>
    <mergeCell ref="B4:F4"/>
    <mergeCell ref="B5:F5"/>
  </mergeCells>
  <phoneticPr fontId="5"/>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7"/>
  <sheetViews>
    <sheetView workbookViewId="0"/>
  </sheetViews>
  <sheetFormatPr baseColWidth="10" defaultColWidth="8.83203125" defaultRowHeight="14"/>
  <cols>
    <col min="1" max="1" width="13" customWidth="1"/>
    <col min="2" max="2" width="34" customWidth="1"/>
    <col min="3" max="3" width="56" customWidth="1"/>
    <col min="4" max="4" width="12" customWidth="1"/>
    <col min="5" max="5" width="38" customWidth="1"/>
    <col min="6" max="6" width="52" customWidth="1"/>
  </cols>
  <sheetData>
    <row r="1" spans="1:6" ht="49.75" customHeight="1">
      <c r="A1" s="27" t="s">
        <v>0</v>
      </c>
      <c r="B1" s="27"/>
      <c r="C1" s="27"/>
      <c r="D1" s="27"/>
      <c r="E1" s="27"/>
      <c r="F1" s="27"/>
    </row>
    <row r="2" spans="1:6">
      <c r="A2" s="1"/>
      <c r="B2" s="1"/>
      <c r="C2" s="1"/>
      <c r="D2" s="1"/>
      <c r="E2" s="1"/>
      <c r="F2" s="1"/>
    </row>
    <row r="3" spans="1:6" ht="39" customHeight="1">
      <c r="A3" s="5" t="s">
        <v>1</v>
      </c>
      <c r="B3" s="28" t="s">
        <v>71</v>
      </c>
      <c r="C3" s="28"/>
      <c r="D3" s="28"/>
      <c r="E3" s="28"/>
      <c r="F3" s="28"/>
    </row>
    <row r="4" spans="1:6" ht="39" customHeight="1">
      <c r="A4" s="5" t="s">
        <v>3</v>
      </c>
      <c r="B4" s="28" t="s">
        <v>4</v>
      </c>
      <c r="C4" s="28"/>
      <c r="D4" s="28"/>
      <c r="E4" s="28"/>
      <c r="F4" s="28"/>
    </row>
    <row r="5" spans="1:6" ht="39" customHeight="1">
      <c r="A5" s="5" t="s">
        <v>5</v>
      </c>
      <c r="B5" s="28" t="s">
        <v>6</v>
      </c>
      <c r="C5" s="28"/>
      <c r="D5" s="28"/>
      <c r="E5" s="28"/>
      <c r="F5" s="28"/>
    </row>
    <row r="6" spans="1:6">
      <c r="A6" s="1"/>
      <c r="B6" s="1"/>
      <c r="C6" s="1"/>
      <c r="D6" s="1"/>
      <c r="E6" s="1"/>
      <c r="F6" s="1"/>
    </row>
    <row r="7" spans="1:6" ht="15">
      <c r="A7" s="26" t="s">
        <v>7</v>
      </c>
      <c r="B7" s="26"/>
      <c r="C7" s="26"/>
      <c r="D7" s="26"/>
      <c r="E7" s="26"/>
      <c r="F7" s="26"/>
    </row>
    <row r="8" spans="1:6" ht="46.25" customHeight="1">
      <c r="A8" s="3" t="s">
        <v>8</v>
      </c>
      <c r="B8" s="3" t="s">
        <v>9</v>
      </c>
      <c r="C8" s="3" t="s">
        <v>10</v>
      </c>
      <c r="D8" s="3" t="s">
        <v>11</v>
      </c>
      <c r="E8" s="3" t="s">
        <v>12</v>
      </c>
      <c r="F8" s="3" t="s">
        <v>13</v>
      </c>
    </row>
    <row r="9" spans="1:6" ht="70.25" customHeight="1">
      <c r="A9" s="4">
        <v>1</v>
      </c>
      <c r="B9" s="2" t="s">
        <v>72</v>
      </c>
      <c r="C9" s="2" t="s">
        <v>73</v>
      </c>
      <c r="D9" s="4" t="s">
        <v>16</v>
      </c>
      <c r="E9" s="2" t="s">
        <v>43</v>
      </c>
      <c r="F9" s="2"/>
    </row>
    <row r="10" spans="1:6" ht="70.25" customHeight="1">
      <c r="A10" s="4">
        <v>2</v>
      </c>
      <c r="B10" s="2" t="s">
        <v>74</v>
      </c>
      <c r="C10" s="2" t="s">
        <v>75</v>
      </c>
      <c r="D10" s="4" t="s">
        <v>16</v>
      </c>
      <c r="E10" s="2" t="s">
        <v>76</v>
      </c>
      <c r="F10" s="2"/>
    </row>
    <row r="11" spans="1:6" ht="70.25" customHeight="1">
      <c r="A11" s="4">
        <v>3</v>
      </c>
      <c r="B11" s="2" t="s">
        <v>72</v>
      </c>
      <c r="C11" s="2" t="s">
        <v>73</v>
      </c>
      <c r="D11" s="4" t="s">
        <v>47</v>
      </c>
      <c r="E11" s="2" t="s">
        <v>43</v>
      </c>
      <c r="F11" s="2"/>
    </row>
    <row r="12" spans="1:6" ht="70.25" customHeight="1">
      <c r="A12" s="4">
        <v>4</v>
      </c>
      <c r="B12" s="2" t="s">
        <v>74</v>
      </c>
      <c r="C12" s="2" t="s">
        <v>75</v>
      </c>
      <c r="D12" s="4" t="s">
        <v>47</v>
      </c>
      <c r="E12" s="2" t="s">
        <v>76</v>
      </c>
      <c r="F12" s="2"/>
    </row>
    <row r="13" spans="1:6" ht="26.75" customHeight="1">
      <c r="A13" s="4">
        <v>5</v>
      </c>
      <c r="B13" s="2" t="s">
        <v>72</v>
      </c>
      <c r="C13" s="2" t="s">
        <v>77</v>
      </c>
      <c r="D13" s="4" t="s">
        <v>16</v>
      </c>
      <c r="E13" s="2" t="s">
        <v>43</v>
      </c>
      <c r="F13" s="2"/>
    </row>
    <row r="14" spans="1:6" ht="30">
      <c r="A14" s="4">
        <v>6</v>
      </c>
      <c r="B14" s="2" t="s">
        <v>78</v>
      </c>
      <c r="C14" s="2" t="s">
        <v>79</v>
      </c>
      <c r="D14" s="4" t="s">
        <v>16</v>
      </c>
      <c r="E14" s="2" t="s">
        <v>80</v>
      </c>
      <c r="F14" s="2"/>
    </row>
    <row r="15" spans="1:6" ht="26.75" customHeight="1">
      <c r="A15" s="4">
        <v>7</v>
      </c>
      <c r="B15" s="2" t="s">
        <v>72</v>
      </c>
      <c r="C15" s="2" t="s">
        <v>77</v>
      </c>
      <c r="D15" s="4" t="s">
        <v>47</v>
      </c>
      <c r="E15" s="2" t="s">
        <v>43</v>
      </c>
      <c r="F15" s="2"/>
    </row>
    <row r="16" spans="1:6" ht="30">
      <c r="A16" s="4">
        <v>8</v>
      </c>
      <c r="B16" s="2" t="s">
        <v>78</v>
      </c>
      <c r="C16" s="2" t="s">
        <v>79</v>
      </c>
      <c r="D16" s="4" t="s">
        <v>47</v>
      </c>
      <c r="E16" s="2" t="s">
        <v>80</v>
      </c>
    </row>
    <row r="17" spans="1:5" ht="15">
      <c r="A17" s="4">
        <v>9</v>
      </c>
      <c r="B17" s="10" t="s">
        <v>37</v>
      </c>
      <c r="C17" s="10" t="s">
        <v>38</v>
      </c>
      <c r="D17" s="11" t="s">
        <v>16</v>
      </c>
      <c r="E17" s="10" t="s">
        <v>39</v>
      </c>
    </row>
  </sheetData>
  <mergeCells count="5">
    <mergeCell ref="A7:F7"/>
    <mergeCell ref="A1:F1"/>
    <mergeCell ref="B3:F3"/>
    <mergeCell ref="B4:F4"/>
    <mergeCell ref="B5:F5"/>
  </mergeCells>
  <phoneticPr fontId="5"/>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6"/>
  <sheetViews>
    <sheetView workbookViewId="0"/>
  </sheetViews>
  <sheetFormatPr baseColWidth="10" defaultColWidth="8.83203125" defaultRowHeight="14"/>
  <cols>
    <col min="1" max="1" width="13" customWidth="1"/>
    <col min="2" max="2" width="34" customWidth="1"/>
    <col min="3" max="3" width="56" customWidth="1"/>
    <col min="4" max="4" width="12" customWidth="1"/>
    <col min="5" max="5" width="38" customWidth="1"/>
    <col min="6" max="6" width="52" customWidth="1"/>
  </cols>
  <sheetData>
    <row r="1" spans="1:6" ht="49.75" customHeight="1">
      <c r="A1" s="27" t="s">
        <v>0</v>
      </c>
      <c r="B1" s="27"/>
      <c r="C1" s="27"/>
      <c r="D1" s="27"/>
      <c r="E1" s="27"/>
      <c r="F1" s="27"/>
    </row>
    <row r="2" spans="1:6">
      <c r="A2" s="1"/>
      <c r="B2" s="1"/>
      <c r="C2" s="1"/>
      <c r="D2" s="1"/>
      <c r="E2" s="1"/>
      <c r="F2" s="1"/>
    </row>
    <row r="3" spans="1:6" ht="39" customHeight="1">
      <c r="A3" s="5" t="s">
        <v>1</v>
      </c>
      <c r="B3" s="28" t="s">
        <v>81</v>
      </c>
      <c r="C3" s="28"/>
      <c r="D3" s="28"/>
      <c r="E3" s="28"/>
      <c r="F3" s="28"/>
    </row>
    <row r="4" spans="1:6" ht="39" customHeight="1">
      <c r="A4" s="5" t="s">
        <v>3</v>
      </c>
      <c r="B4" s="28" t="s">
        <v>4</v>
      </c>
      <c r="C4" s="28"/>
      <c r="D4" s="28"/>
      <c r="E4" s="28"/>
      <c r="F4" s="28"/>
    </row>
    <row r="5" spans="1:6" ht="39" customHeight="1">
      <c r="A5" s="5" t="s">
        <v>5</v>
      </c>
      <c r="B5" s="28" t="s">
        <v>6</v>
      </c>
      <c r="C5" s="28"/>
      <c r="D5" s="28"/>
      <c r="E5" s="28"/>
      <c r="F5" s="28"/>
    </row>
    <row r="6" spans="1:6">
      <c r="A6" s="1"/>
      <c r="B6" s="1"/>
      <c r="C6" s="1"/>
      <c r="D6" s="1"/>
      <c r="E6" s="1"/>
      <c r="F6" s="1"/>
    </row>
    <row r="7" spans="1:6" ht="15">
      <c r="A7" s="26" t="s">
        <v>7</v>
      </c>
      <c r="B7" s="26"/>
      <c r="C7" s="26"/>
      <c r="D7" s="26"/>
      <c r="E7" s="26"/>
      <c r="F7" s="26"/>
    </row>
    <row r="8" spans="1:6" ht="46.25" customHeight="1">
      <c r="A8" s="3" t="s">
        <v>8</v>
      </c>
      <c r="B8" s="3" t="s">
        <v>9</v>
      </c>
      <c r="C8" s="3" t="s">
        <v>10</v>
      </c>
      <c r="D8" s="3" t="s">
        <v>11</v>
      </c>
      <c r="E8" s="3" t="s">
        <v>12</v>
      </c>
      <c r="F8" s="3" t="s">
        <v>13</v>
      </c>
    </row>
    <row r="9" spans="1:6" ht="26.75" customHeight="1">
      <c r="A9" s="4">
        <v>1</v>
      </c>
      <c r="B9" s="2" t="s">
        <v>82</v>
      </c>
      <c r="C9" s="2" t="s">
        <v>83</v>
      </c>
      <c r="D9" s="4" t="s">
        <v>47</v>
      </c>
      <c r="E9" s="2" t="s">
        <v>43</v>
      </c>
      <c r="F9" s="2"/>
    </row>
    <row r="10" spans="1:6" ht="47" customHeight="1">
      <c r="A10" s="4">
        <v>2</v>
      </c>
      <c r="B10" s="2" t="s">
        <v>82</v>
      </c>
      <c r="C10" s="2" t="s">
        <v>84</v>
      </c>
      <c r="D10" s="4" t="s">
        <v>47</v>
      </c>
      <c r="E10" s="2" t="s">
        <v>43</v>
      </c>
      <c r="F10" s="2"/>
    </row>
    <row r="11" spans="1:6" ht="47" customHeight="1">
      <c r="A11" s="4">
        <v>3</v>
      </c>
      <c r="B11" s="2" t="s">
        <v>85</v>
      </c>
      <c r="C11" s="2" t="s">
        <v>86</v>
      </c>
      <c r="D11" s="4" t="s">
        <v>47</v>
      </c>
      <c r="E11" s="2" t="s">
        <v>87</v>
      </c>
      <c r="F11" s="2"/>
    </row>
    <row r="12" spans="1:6" ht="26.75" customHeight="1">
      <c r="A12" s="4">
        <v>4</v>
      </c>
      <c r="B12" s="2" t="s">
        <v>82</v>
      </c>
      <c r="C12" s="2" t="s">
        <v>88</v>
      </c>
      <c r="D12" s="4" t="s">
        <v>47</v>
      </c>
      <c r="E12" s="2" t="s">
        <v>43</v>
      </c>
      <c r="F12" s="2"/>
    </row>
    <row r="13" spans="1:6" ht="26.75" customHeight="1">
      <c r="A13" s="4">
        <v>5</v>
      </c>
      <c r="B13" s="2" t="s">
        <v>82</v>
      </c>
      <c r="C13" s="2" t="s">
        <v>89</v>
      </c>
      <c r="D13" s="4" t="s">
        <v>47</v>
      </c>
      <c r="E13" s="2" t="s">
        <v>43</v>
      </c>
      <c r="F13" s="2"/>
    </row>
    <row r="14" spans="1:6" ht="26.75" customHeight="1">
      <c r="A14" s="4">
        <v>6</v>
      </c>
      <c r="B14" s="2" t="s">
        <v>82</v>
      </c>
      <c r="C14" s="2" t="s">
        <v>90</v>
      </c>
      <c r="D14" s="4" t="s">
        <v>47</v>
      </c>
      <c r="E14" s="2" t="s">
        <v>43</v>
      </c>
      <c r="F14" s="2"/>
    </row>
    <row r="15" spans="1:6" ht="15">
      <c r="A15" s="4">
        <v>7</v>
      </c>
      <c r="B15" s="2" t="s">
        <v>82</v>
      </c>
      <c r="C15" s="2" t="s">
        <v>91</v>
      </c>
      <c r="D15" s="4" t="s">
        <v>47</v>
      </c>
      <c r="E15" s="2" t="s">
        <v>43</v>
      </c>
    </row>
    <row r="16" spans="1:6" ht="15">
      <c r="A16" s="4">
        <v>8</v>
      </c>
      <c r="B16" s="10" t="s">
        <v>37</v>
      </c>
      <c r="C16" s="10" t="s">
        <v>38</v>
      </c>
      <c r="D16" s="11" t="s">
        <v>16</v>
      </c>
      <c r="E16" s="10" t="s">
        <v>39</v>
      </c>
    </row>
  </sheetData>
  <mergeCells count="5">
    <mergeCell ref="A7:F7"/>
    <mergeCell ref="A1:F1"/>
    <mergeCell ref="B3:F3"/>
    <mergeCell ref="B4:F4"/>
    <mergeCell ref="B5:F5"/>
  </mergeCells>
  <phoneticPr fontId="5"/>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4"/>
  <sheetViews>
    <sheetView workbookViewId="0"/>
  </sheetViews>
  <sheetFormatPr baseColWidth="10" defaultColWidth="8.83203125" defaultRowHeight="14"/>
  <cols>
    <col min="1" max="1" width="13" customWidth="1"/>
    <col min="2" max="2" width="34" customWidth="1"/>
    <col min="3" max="3" width="56" customWidth="1"/>
    <col min="4" max="4" width="12" customWidth="1"/>
    <col min="5" max="5" width="38" customWidth="1"/>
    <col min="6" max="6" width="52" customWidth="1"/>
  </cols>
  <sheetData>
    <row r="1" spans="1:6" ht="49.75" customHeight="1">
      <c r="A1" s="27" t="s">
        <v>0</v>
      </c>
      <c r="B1" s="27"/>
      <c r="C1" s="27"/>
      <c r="D1" s="27"/>
      <c r="E1" s="27"/>
      <c r="F1" s="27"/>
    </row>
    <row r="2" spans="1:6">
      <c r="A2" s="1"/>
      <c r="B2" s="1"/>
      <c r="C2" s="1"/>
      <c r="D2" s="1"/>
      <c r="E2" s="1"/>
      <c r="F2" s="1"/>
    </row>
    <row r="3" spans="1:6" ht="39" customHeight="1">
      <c r="A3" s="5" t="s">
        <v>1</v>
      </c>
      <c r="B3" s="28" t="s">
        <v>92</v>
      </c>
      <c r="C3" s="28"/>
      <c r="D3" s="28"/>
      <c r="E3" s="28"/>
      <c r="F3" s="28"/>
    </row>
    <row r="4" spans="1:6" ht="39" customHeight="1">
      <c r="A4" s="5" t="s">
        <v>3</v>
      </c>
      <c r="B4" s="28" t="s">
        <v>4</v>
      </c>
      <c r="C4" s="28"/>
      <c r="D4" s="28"/>
      <c r="E4" s="28"/>
      <c r="F4" s="28"/>
    </row>
    <row r="5" spans="1:6" ht="39" customHeight="1">
      <c r="A5" s="5" t="s">
        <v>5</v>
      </c>
      <c r="B5" s="28" t="s">
        <v>6</v>
      </c>
      <c r="C5" s="28"/>
      <c r="D5" s="28"/>
      <c r="E5" s="28"/>
      <c r="F5" s="28"/>
    </row>
    <row r="6" spans="1:6">
      <c r="A6" s="1"/>
      <c r="B6" s="1"/>
      <c r="C6" s="1"/>
      <c r="D6" s="1"/>
      <c r="E6" s="1"/>
      <c r="F6" s="1"/>
    </row>
    <row r="7" spans="1:6" ht="15">
      <c r="A7" s="26" t="s">
        <v>7</v>
      </c>
      <c r="B7" s="26"/>
      <c r="C7" s="26"/>
      <c r="D7" s="26"/>
      <c r="E7" s="26"/>
      <c r="F7" s="26"/>
    </row>
    <row r="8" spans="1:6" ht="46.25" customHeight="1">
      <c r="A8" s="3" t="s">
        <v>8</v>
      </c>
      <c r="B8" s="3" t="s">
        <v>9</v>
      </c>
      <c r="C8" s="3" t="s">
        <v>10</v>
      </c>
      <c r="D8" s="3" t="s">
        <v>11</v>
      </c>
      <c r="E8" s="3" t="s">
        <v>12</v>
      </c>
      <c r="F8" s="3" t="s">
        <v>13</v>
      </c>
    </row>
    <row r="9" spans="1:6" ht="26.75" customHeight="1">
      <c r="A9" s="4">
        <v>1</v>
      </c>
      <c r="B9" s="2" t="s">
        <v>48</v>
      </c>
      <c r="C9" s="2" t="s">
        <v>93</v>
      </c>
      <c r="D9" s="4" t="s">
        <v>47</v>
      </c>
      <c r="E9" s="2" t="s">
        <v>43</v>
      </c>
      <c r="F9" s="2"/>
    </row>
    <row r="10" spans="1:6" ht="26.75" customHeight="1">
      <c r="A10" s="4">
        <v>2</v>
      </c>
      <c r="B10" s="2" t="s">
        <v>48</v>
      </c>
      <c r="C10" s="2" t="s">
        <v>94</v>
      </c>
      <c r="D10" s="4" t="s">
        <v>47</v>
      </c>
      <c r="E10" s="2" t="s">
        <v>43</v>
      </c>
      <c r="F10" s="2"/>
    </row>
    <row r="11" spans="1:6" ht="26.75" customHeight="1">
      <c r="A11" s="4"/>
      <c r="B11" s="2" t="s">
        <v>48</v>
      </c>
      <c r="C11" s="2" t="s">
        <v>94</v>
      </c>
      <c r="D11" s="4" t="s">
        <v>47</v>
      </c>
      <c r="E11" s="2" t="s">
        <v>95</v>
      </c>
      <c r="F11" s="2"/>
    </row>
    <row r="12" spans="1:6" ht="47" customHeight="1">
      <c r="A12" s="4">
        <v>3</v>
      </c>
      <c r="B12" s="2" t="s">
        <v>96</v>
      </c>
      <c r="C12" s="2" t="s">
        <v>97</v>
      </c>
      <c r="D12" s="4" t="s">
        <v>47</v>
      </c>
      <c r="E12" s="2" t="s">
        <v>98</v>
      </c>
      <c r="F12" s="2"/>
    </row>
    <row r="13" spans="1:6" ht="47" customHeight="1">
      <c r="A13" s="4">
        <v>4</v>
      </c>
      <c r="B13" s="2" t="s">
        <v>99</v>
      </c>
      <c r="C13" s="2" t="s">
        <v>100</v>
      </c>
      <c r="D13" s="4" t="s">
        <v>47</v>
      </c>
      <c r="E13" s="2" t="s">
        <v>98</v>
      </c>
      <c r="F13" s="2"/>
    </row>
    <row r="14" spans="1:6" ht="15">
      <c r="A14" s="4">
        <v>5</v>
      </c>
      <c r="B14" s="10" t="s">
        <v>37</v>
      </c>
      <c r="C14" s="10" t="s">
        <v>38</v>
      </c>
      <c r="D14" s="11" t="s">
        <v>16</v>
      </c>
      <c r="E14" s="10" t="s">
        <v>39</v>
      </c>
    </row>
  </sheetData>
  <mergeCells count="5">
    <mergeCell ref="A7:F7"/>
    <mergeCell ref="A1:F1"/>
    <mergeCell ref="B3:F3"/>
    <mergeCell ref="B4:F4"/>
    <mergeCell ref="B5:F5"/>
  </mergeCells>
  <phoneticPr fontId="5"/>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0"/>
  <sheetViews>
    <sheetView workbookViewId="0"/>
  </sheetViews>
  <sheetFormatPr baseColWidth="10" defaultColWidth="8.83203125" defaultRowHeight="14"/>
  <cols>
    <col min="1" max="1" width="13" customWidth="1"/>
    <col min="2" max="2" width="34" customWidth="1"/>
    <col min="3" max="3" width="56" customWidth="1"/>
    <col min="4" max="4" width="12" customWidth="1"/>
    <col min="5" max="5" width="38" customWidth="1"/>
    <col min="6" max="6" width="52" customWidth="1"/>
  </cols>
  <sheetData>
    <row r="1" spans="1:6" ht="49.75" customHeight="1">
      <c r="A1" s="27" t="s">
        <v>0</v>
      </c>
      <c r="B1" s="27"/>
      <c r="C1" s="27"/>
      <c r="D1" s="27"/>
      <c r="E1" s="27"/>
      <c r="F1" s="27"/>
    </row>
    <row r="2" spans="1:6">
      <c r="A2" s="1"/>
      <c r="B2" s="1"/>
      <c r="C2" s="1"/>
      <c r="D2" s="1"/>
      <c r="E2" s="1"/>
      <c r="F2" s="1"/>
    </row>
    <row r="3" spans="1:6" ht="39" customHeight="1">
      <c r="A3" s="5" t="s">
        <v>1</v>
      </c>
      <c r="B3" s="28" t="s">
        <v>101</v>
      </c>
      <c r="C3" s="28"/>
      <c r="D3" s="28"/>
      <c r="E3" s="28"/>
      <c r="F3" s="28"/>
    </row>
    <row r="4" spans="1:6" ht="39" customHeight="1">
      <c r="A4" s="5" t="s">
        <v>3</v>
      </c>
      <c r="B4" s="28" t="s">
        <v>4</v>
      </c>
      <c r="C4" s="28"/>
      <c r="D4" s="28"/>
      <c r="E4" s="28"/>
      <c r="F4" s="28"/>
    </row>
    <row r="5" spans="1:6" ht="39" customHeight="1">
      <c r="A5" s="5" t="s">
        <v>5</v>
      </c>
      <c r="B5" s="28" t="s">
        <v>6</v>
      </c>
      <c r="C5" s="28"/>
      <c r="D5" s="28"/>
      <c r="E5" s="28"/>
      <c r="F5" s="28"/>
    </row>
    <row r="6" spans="1:6">
      <c r="A6" s="1"/>
      <c r="B6" s="1"/>
      <c r="C6" s="1"/>
      <c r="D6" s="1"/>
      <c r="E6" s="1"/>
      <c r="F6" s="1"/>
    </row>
    <row r="7" spans="1:6" ht="15">
      <c r="A7" s="26" t="s">
        <v>7</v>
      </c>
      <c r="B7" s="26"/>
      <c r="C7" s="26"/>
      <c r="D7" s="26"/>
      <c r="E7" s="26"/>
      <c r="F7" s="26"/>
    </row>
    <row r="8" spans="1:6" ht="46.25" customHeight="1">
      <c r="A8" s="3" t="s">
        <v>8</v>
      </c>
      <c r="B8" s="3" t="s">
        <v>9</v>
      </c>
      <c r="C8" s="3" t="s">
        <v>10</v>
      </c>
      <c r="D8" s="3" t="s">
        <v>11</v>
      </c>
      <c r="E8" s="3" t="s">
        <v>12</v>
      </c>
      <c r="F8" s="3" t="s">
        <v>13</v>
      </c>
    </row>
    <row r="9" spans="1:6" ht="47" customHeight="1">
      <c r="A9" s="4">
        <v>1</v>
      </c>
      <c r="B9" s="2" t="s">
        <v>102</v>
      </c>
      <c r="C9" s="2" t="s">
        <v>103</v>
      </c>
      <c r="D9" s="4" t="s">
        <v>16</v>
      </c>
      <c r="E9" s="2" t="s">
        <v>98</v>
      </c>
      <c r="F9" s="2"/>
    </row>
    <row r="10" spans="1:6" ht="15">
      <c r="A10" s="6">
        <v>2</v>
      </c>
      <c r="B10" s="10" t="s">
        <v>37</v>
      </c>
      <c r="C10" s="10" t="s">
        <v>38</v>
      </c>
      <c r="D10" s="11" t="s">
        <v>16</v>
      </c>
      <c r="E10" s="10" t="s">
        <v>39</v>
      </c>
    </row>
  </sheetData>
  <mergeCells count="5">
    <mergeCell ref="A7:F7"/>
    <mergeCell ref="A1:F1"/>
    <mergeCell ref="B3:F3"/>
    <mergeCell ref="B4:F4"/>
    <mergeCell ref="B5:F5"/>
  </mergeCells>
  <phoneticPr fontId="5"/>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0"/>
  <sheetViews>
    <sheetView workbookViewId="0"/>
  </sheetViews>
  <sheetFormatPr baseColWidth="10" defaultColWidth="8.83203125" defaultRowHeight="14"/>
  <cols>
    <col min="1" max="1" width="13" customWidth="1"/>
    <col min="2" max="2" width="34" customWidth="1"/>
    <col min="3" max="3" width="56" customWidth="1"/>
    <col min="4" max="4" width="12" customWidth="1"/>
    <col min="5" max="5" width="38" customWidth="1"/>
    <col min="6" max="6" width="52" customWidth="1"/>
  </cols>
  <sheetData>
    <row r="1" spans="1:6" ht="49.75" customHeight="1">
      <c r="A1" s="27" t="s">
        <v>0</v>
      </c>
      <c r="B1" s="27"/>
      <c r="C1" s="27"/>
      <c r="D1" s="27"/>
      <c r="E1" s="27"/>
      <c r="F1" s="27"/>
    </row>
    <row r="2" spans="1:6">
      <c r="A2" s="1"/>
      <c r="B2" s="1"/>
      <c r="C2" s="1"/>
      <c r="D2" s="1"/>
      <c r="E2" s="1"/>
      <c r="F2" s="1"/>
    </row>
    <row r="3" spans="1:6" ht="39" customHeight="1">
      <c r="A3" s="5" t="s">
        <v>1</v>
      </c>
      <c r="B3" s="28" t="s">
        <v>104</v>
      </c>
      <c r="C3" s="28"/>
      <c r="D3" s="28"/>
      <c r="E3" s="28"/>
      <c r="F3" s="28"/>
    </row>
    <row r="4" spans="1:6" ht="39" customHeight="1">
      <c r="A4" s="5" t="s">
        <v>3</v>
      </c>
      <c r="B4" s="28" t="s">
        <v>4</v>
      </c>
      <c r="C4" s="28"/>
      <c r="D4" s="28"/>
      <c r="E4" s="28"/>
      <c r="F4" s="28"/>
    </row>
    <row r="5" spans="1:6" ht="39" customHeight="1">
      <c r="A5" s="5" t="s">
        <v>5</v>
      </c>
      <c r="B5" s="28" t="s">
        <v>6</v>
      </c>
      <c r="C5" s="28"/>
      <c r="D5" s="28"/>
      <c r="E5" s="28"/>
      <c r="F5" s="28"/>
    </row>
    <row r="6" spans="1:6">
      <c r="A6" s="1"/>
      <c r="B6" s="1"/>
      <c r="C6" s="1"/>
      <c r="D6" s="1"/>
      <c r="E6" s="1"/>
      <c r="F6" s="1"/>
    </row>
    <row r="7" spans="1:6" ht="15">
      <c r="A7" s="26" t="s">
        <v>7</v>
      </c>
      <c r="B7" s="26"/>
      <c r="C7" s="26"/>
      <c r="D7" s="26"/>
      <c r="E7" s="26"/>
      <c r="F7" s="26"/>
    </row>
    <row r="8" spans="1:6" ht="46.25" customHeight="1">
      <c r="A8" s="3" t="s">
        <v>8</v>
      </c>
      <c r="B8" s="3" t="s">
        <v>9</v>
      </c>
      <c r="C8" s="3" t="s">
        <v>10</v>
      </c>
      <c r="D8" s="3" t="s">
        <v>11</v>
      </c>
      <c r="E8" s="3" t="s">
        <v>12</v>
      </c>
      <c r="F8" s="3" t="s">
        <v>13</v>
      </c>
    </row>
    <row r="9" spans="1:6" ht="30">
      <c r="A9" s="4">
        <v>1</v>
      </c>
      <c r="B9" s="2" t="s">
        <v>105</v>
      </c>
      <c r="C9" s="2" t="s">
        <v>106</v>
      </c>
      <c r="D9" s="4" t="s">
        <v>47</v>
      </c>
      <c r="E9" s="7" t="s">
        <v>43</v>
      </c>
    </row>
    <row r="10" spans="1:6" ht="15">
      <c r="A10" s="6">
        <v>2</v>
      </c>
      <c r="B10" s="10" t="s">
        <v>37</v>
      </c>
      <c r="C10" s="10" t="s">
        <v>38</v>
      </c>
      <c r="D10" s="11" t="s">
        <v>16</v>
      </c>
      <c r="E10" s="10" t="s">
        <v>39</v>
      </c>
    </row>
  </sheetData>
  <mergeCells count="5">
    <mergeCell ref="A7:F7"/>
    <mergeCell ref="A1:F1"/>
    <mergeCell ref="B3:F3"/>
    <mergeCell ref="B4:F4"/>
    <mergeCell ref="B5:F5"/>
  </mergeCells>
  <phoneticPr fontId="5"/>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38"/>
  <sheetViews>
    <sheetView workbookViewId="0"/>
  </sheetViews>
  <sheetFormatPr baseColWidth="10" defaultColWidth="8.83203125" defaultRowHeight="14"/>
  <cols>
    <col min="1" max="1" width="13" customWidth="1"/>
    <col min="2" max="2" width="34" customWidth="1"/>
    <col min="3" max="3" width="56" customWidth="1"/>
    <col min="4" max="4" width="12" customWidth="1"/>
    <col min="5" max="6" width="38" customWidth="1"/>
    <col min="7" max="7" width="52" customWidth="1"/>
  </cols>
  <sheetData>
    <row r="1" spans="1:9" ht="49.75" customHeight="1">
      <c r="A1" s="27" t="s">
        <v>0</v>
      </c>
      <c r="B1" s="27"/>
      <c r="C1" s="27"/>
      <c r="D1" s="27"/>
      <c r="E1" s="27"/>
      <c r="F1" s="27"/>
      <c r="G1" s="27"/>
    </row>
    <row r="2" spans="1:9">
      <c r="A2" s="1"/>
      <c r="B2" s="1"/>
      <c r="C2" s="1"/>
      <c r="D2" s="1"/>
      <c r="E2" s="1"/>
      <c r="F2" s="1"/>
      <c r="G2" s="1"/>
    </row>
    <row r="3" spans="1:9" ht="39" customHeight="1">
      <c r="A3" s="5" t="s">
        <v>1</v>
      </c>
      <c r="B3" s="28" t="s">
        <v>107</v>
      </c>
      <c r="C3" s="28"/>
      <c r="D3" s="28"/>
      <c r="E3" s="28"/>
      <c r="F3" s="28"/>
      <c r="G3" s="28"/>
    </row>
    <row r="4" spans="1:9" ht="39" customHeight="1">
      <c r="A4" s="5" t="s">
        <v>3</v>
      </c>
      <c r="B4" s="28" t="s">
        <v>4</v>
      </c>
      <c r="C4" s="28"/>
      <c r="D4" s="28"/>
      <c r="E4" s="28"/>
      <c r="F4" s="28"/>
      <c r="G4" s="28"/>
    </row>
    <row r="5" spans="1:9" ht="39" customHeight="1">
      <c r="A5" s="5" t="s">
        <v>5</v>
      </c>
      <c r="B5" s="28" t="s">
        <v>6</v>
      </c>
      <c r="C5" s="28"/>
      <c r="D5" s="28"/>
      <c r="E5" s="28"/>
      <c r="F5" s="28"/>
      <c r="G5" s="28"/>
    </row>
    <row r="6" spans="1:9">
      <c r="A6" s="1"/>
      <c r="B6" s="1"/>
      <c r="C6" s="1"/>
      <c r="D6" s="1"/>
      <c r="E6" s="1"/>
      <c r="F6" s="1"/>
      <c r="G6" s="1"/>
    </row>
    <row r="7" spans="1:9" ht="15">
      <c r="A7" s="26" t="s">
        <v>7</v>
      </c>
      <c r="B7" s="26"/>
      <c r="C7" s="26"/>
      <c r="D7" s="26"/>
      <c r="E7" s="26"/>
      <c r="F7" s="26"/>
      <c r="G7" s="26"/>
    </row>
    <row r="8" spans="1:9" ht="46.25" customHeight="1">
      <c r="A8" s="3" t="s">
        <v>8</v>
      </c>
      <c r="B8" s="3" t="s">
        <v>9</v>
      </c>
      <c r="C8" s="3" t="s">
        <v>10</v>
      </c>
      <c r="D8" s="3" t="s">
        <v>11</v>
      </c>
      <c r="E8" s="3" t="s">
        <v>108</v>
      </c>
      <c r="F8" s="3" t="s">
        <v>109</v>
      </c>
      <c r="G8" s="3" t="s">
        <v>13</v>
      </c>
    </row>
    <row r="9" spans="1:9" ht="47" customHeight="1">
      <c r="A9" s="4">
        <v>1</v>
      </c>
      <c r="B9" s="2" t="s">
        <v>110</v>
      </c>
      <c r="C9" s="2" t="s">
        <v>111</v>
      </c>
      <c r="D9" s="4" t="s">
        <v>47</v>
      </c>
      <c r="E9" s="2" t="s">
        <v>43</v>
      </c>
      <c r="F9" s="2" t="s">
        <v>112</v>
      </c>
      <c r="G9" s="2" t="s">
        <v>113</v>
      </c>
    </row>
    <row r="10" spans="1:9" ht="47" customHeight="1">
      <c r="A10" s="4">
        <v>2</v>
      </c>
      <c r="B10" s="2" t="s">
        <v>110</v>
      </c>
      <c r="C10" s="2" t="s">
        <v>111</v>
      </c>
      <c r="D10" s="4" t="s">
        <v>47</v>
      </c>
      <c r="E10" s="4">
        <v>2</v>
      </c>
      <c r="F10" t="s">
        <v>114</v>
      </c>
      <c r="G10" s="2"/>
      <c r="I10" s="2"/>
    </row>
    <row r="11" spans="1:9" ht="47" customHeight="1">
      <c r="A11" s="4">
        <v>3</v>
      </c>
      <c r="B11" s="2" t="s">
        <v>110</v>
      </c>
      <c r="C11" s="2" t="s">
        <v>111</v>
      </c>
      <c r="D11" s="4" t="s">
        <v>47</v>
      </c>
      <c r="E11" s="4">
        <v>2</v>
      </c>
      <c r="F11" t="s">
        <v>115</v>
      </c>
      <c r="G11" s="2"/>
      <c r="I11" s="2"/>
    </row>
    <row r="12" spans="1:9" ht="47" customHeight="1">
      <c r="A12" s="4">
        <v>4</v>
      </c>
      <c r="B12" s="2" t="s">
        <v>110</v>
      </c>
      <c r="C12" s="2" t="s">
        <v>111</v>
      </c>
      <c r="D12" s="4" t="s">
        <v>47</v>
      </c>
      <c r="E12" s="4">
        <v>2</v>
      </c>
      <c r="F12" t="s">
        <v>116</v>
      </c>
      <c r="G12" s="2"/>
      <c r="I12" s="2"/>
    </row>
    <row r="13" spans="1:9" ht="47" customHeight="1">
      <c r="A13" s="4">
        <v>5</v>
      </c>
      <c r="B13" s="2" t="s">
        <v>110</v>
      </c>
      <c r="C13" s="2" t="s">
        <v>111</v>
      </c>
      <c r="D13" s="4" t="s">
        <v>47</v>
      </c>
      <c r="E13" s="4">
        <v>2</v>
      </c>
      <c r="F13" t="s">
        <v>117</v>
      </c>
      <c r="G13" s="2"/>
      <c r="I13" s="2"/>
    </row>
    <row r="14" spans="1:9" ht="47" customHeight="1">
      <c r="A14" s="4">
        <v>6</v>
      </c>
      <c r="B14" s="2" t="s">
        <v>110</v>
      </c>
      <c r="C14" s="2" t="s">
        <v>111</v>
      </c>
      <c r="D14" s="4" t="s">
        <v>47</v>
      </c>
      <c r="E14" s="4">
        <v>2</v>
      </c>
      <c r="F14" t="s">
        <v>118</v>
      </c>
      <c r="G14" s="2"/>
      <c r="I14" s="2"/>
    </row>
    <row r="15" spans="1:9" ht="47" customHeight="1">
      <c r="A15" s="4">
        <v>7</v>
      </c>
      <c r="B15" s="2" t="s">
        <v>110</v>
      </c>
      <c r="C15" s="2" t="s">
        <v>111</v>
      </c>
      <c r="D15" s="4" t="s">
        <v>47</v>
      </c>
      <c r="E15" s="4">
        <v>2</v>
      </c>
      <c r="F15" t="s">
        <v>119</v>
      </c>
      <c r="G15" s="2"/>
      <c r="I15" s="2"/>
    </row>
    <row r="16" spans="1:9" ht="47" customHeight="1">
      <c r="A16" s="4">
        <v>8</v>
      </c>
      <c r="B16" s="2" t="s">
        <v>110</v>
      </c>
      <c r="C16" s="2" t="s">
        <v>111</v>
      </c>
      <c r="D16" s="4" t="s">
        <v>47</v>
      </c>
      <c r="E16" s="4">
        <v>2</v>
      </c>
      <c r="F16" t="s">
        <v>120</v>
      </c>
      <c r="G16" s="2"/>
      <c r="I16" s="2"/>
    </row>
    <row r="17" spans="1:9" ht="47" customHeight="1">
      <c r="A17" s="4">
        <v>9</v>
      </c>
      <c r="B17" s="2" t="s">
        <v>110</v>
      </c>
      <c r="C17" s="2" t="s">
        <v>111</v>
      </c>
      <c r="D17" s="4" t="s">
        <v>47</v>
      </c>
      <c r="E17" s="4">
        <v>1</v>
      </c>
      <c r="F17" t="s">
        <v>121</v>
      </c>
      <c r="G17" s="2"/>
      <c r="I17" s="2"/>
    </row>
    <row r="18" spans="1:9" ht="47" customHeight="1">
      <c r="A18" s="4">
        <v>10</v>
      </c>
      <c r="B18" s="2" t="s">
        <v>110</v>
      </c>
      <c r="C18" s="2" t="s">
        <v>111</v>
      </c>
      <c r="D18" s="4" t="s">
        <v>47</v>
      </c>
      <c r="E18" s="4">
        <v>2</v>
      </c>
      <c r="F18" t="s">
        <v>122</v>
      </c>
      <c r="G18" s="2"/>
      <c r="I18" s="2"/>
    </row>
    <row r="19" spans="1:9" ht="47" customHeight="1">
      <c r="A19" s="4">
        <v>11</v>
      </c>
      <c r="B19" s="2" t="s">
        <v>110</v>
      </c>
      <c r="C19" s="2" t="s">
        <v>111</v>
      </c>
      <c r="D19" s="4" t="s">
        <v>47</v>
      </c>
      <c r="E19" s="4">
        <v>1</v>
      </c>
      <c r="F19" t="s">
        <v>123</v>
      </c>
      <c r="G19" s="2"/>
      <c r="I19" s="2"/>
    </row>
    <row r="20" spans="1:9" ht="47" customHeight="1">
      <c r="A20" s="4">
        <v>12</v>
      </c>
      <c r="B20" s="2" t="s">
        <v>110</v>
      </c>
      <c r="C20" s="2" t="s">
        <v>111</v>
      </c>
      <c r="D20" s="4" t="s">
        <v>47</v>
      </c>
      <c r="E20" s="4">
        <v>2</v>
      </c>
      <c r="F20" t="s">
        <v>124</v>
      </c>
      <c r="G20" s="2"/>
      <c r="I20" s="2"/>
    </row>
    <row r="21" spans="1:9" ht="47" customHeight="1">
      <c r="A21" s="4">
        <v>13</v>
      </c>
      <c r="B21" s="2" t="s">
        <v>110</v>
      </c>
      <c r="C21" s="2" t="s">
        <v>111</v>
      </c>
      <c r="D21" s="4" t="s">
        <v>47</v>
      </c>
      <c r="E21" s="4">
        <v>2</v>
      </c>
      <c r="F21" t="s">
        <v>125</v>
      </c>
      <c r="G21" s="2"/>
      <c r="I21" s="2"/>
    </row>
    <row r="22" spans="1:9" ht="47" customHeight="1">
      <c r="A22" s="4">
        <v>14</v>
      </c>
      <c r="B22" s="2" t="s">
        <v>110</v>
      </c>
      <c r="C22" s="2" t="s">
        <v>111</v>
      </c>
      <c r="D22" s="4" t="s">
        <v>47</v>
      </c>
      <c r="E22" s="4">
        <v>2</v>
      </c>
      <c r="F22" t="s">
        <v>126</v>
      </c>
      <c r="G22" s="2"/>
      <c r="I22" s="2"/>
    </row>
    <row r="23" spans="1:9" ht="47" customHeight="1">
      <c r="A23" s="4">
        <v>15</v>
      </c>
      <c r="B23" s="2" t="s">
        <v>110</v>
      </c>
      <c r="C23" s="2" t="s">
        <v>111</v>
      </c>
      <c r="D23" s="4" t="s">
        <v>47</v>
      </c>
      <c r="E23" s="4">
        <v>2</v>
      </c>
      <c r="F23" t="s">
        <v>127</v>
      </c>
      <c r="G23" s="2"/>
      <c r="I23" s="2"/>
    </row>
    <row r="24" spans="1:9" ht="47" customHeight="1">
      <c r="A24" s="4">
        <v>16</v>
      </c>
      <c r="B24" s="2" t="s">
        <v>110</v>
      </c>
      <c r="C24" s="2" t="s">
        <v>111</v>
      </c>
      <c r="D24" s="4" t="s">
        <v>47</v>
      </c>
      <c r="E24" s="4">
        <v>2</v>
      </c>
      <c r="F24" t="s">
        <v>128</v>
      </c>
      <c r="G24" s="2"/>
      <c r="I24" s="2"/>
    </row>
    <row r="25" spans="1:9" ht="47" customHeight="1">
      <c r="A25" s="4">
        <v>17</v>
      </c>
      <c r="B25" s="2" t="s">
        <v>110</v>
      </c>
      <c r="C25" s="2" t="s">
        <v>111</v>
      </c>
      <c r="D25" s="4" t="s">
        <v>47</v>
      </c>
      <c r="E25" s="4">
        <v>2</v>
      </c>
      <c r="F25" t="s">
        <v>129</v>
      </c>
      <c r="G25" s="2"/>
      <c r="I25" s="2"/>
    </row>
    <row r="26" spans="1:9" ht="47" customHeight="1">
      <c r="A26" s="4">
        <v>18</v>
      </c>
      <c r="B26" s="2" t="s">
        <v>110</v>
      </c>
      <c r="C26" s="2" t="s">
        <v>111</v>
      </c>
      <c r="D26" s="4" t="s">
        <v>47</v>
      </c>
      <c r="E26" s="4">
        <v>1</v>
      </c>
      <c r="F26" t="s">
        <v>130</v>
      </c>
      <c r="G26" s="2"/>
      <c r="I26" s="2"/>
    </row>
    <row r="27" spans="1:9" ht="47" customHeight="1">
      <c r="A27" s="4">
        <v>19</v>
      </c>
      <c r="B27" s="2" t="s">
        <v>110</v>
      </c>
      <c r="C27" s="2" t="s">
        <v>111</v>
      </c>
      <c r="D27" s="4" t="s">
        <v>47</v>
      </c>
      <c r="E27" s="4">
        <v>2</v>
      </c>
      <c r="F27" t="s">
        <v>131</v>
      </c>
      <c r="G27" s="2"/>
      <c r="I27" s="2"/>
    </row>
    <row r="28" spans="1:9" ht="47" customHeight="1">
      <c r="A28" s="4">
        <v>20</v>
      </c>
      <c r="B28" s="2" t="s">
        <v>110</v>
      </c>
      <c r="C28" s="2" t="s">
        <v>111</v>
      </c>
      <c r="D28" s="4" t="s">
        <v>47</v>
      </c>
      <c r="E28" s="4">
        <v>2</v>
      </c>
      <c r="F28" t="s">
        <v>132</v>
      </c>
      <c r="G28" s="2"/>
      <c r="I28" s="2"/>
    </row>
    <row r="29" spans="1:9" ht="47" customHeight="1">
      <c r="A29" s="4">
        <v>21</v>
      </c>
      <c r="B29" s="2" t="s">
        <v>110</v>
      </c>
      <c r="C29" s="2" t="s">
        <v>111</v>
      </c>
      <c r="D29" s="4" t="s">
        <v>47</v>
      </c>
      <c r="E29" s="4">
        <v>1</v>
      </c>
      <c r="F29" t="s">
        <v>133</v>
      </c>
      <c r="G29" s="2"/>
      <c r="I29" s="2"/>
    </row>
    <row r="30" spans="1:9" ht="47" customHeight="1">
      <c r="A30" s="4">
        <v>22</v>
      </c>
      <c r="B30" s="2" t="s">
        <v>110</v>
      </c>
      <c r="C30" s="2" t="s">
        <v>111</v>
      </c>
      <c r="D30" s="4" t="s">
        <v>47</v>
      </c>
      <c r="E30" s="4">
        <v>2</v>
      </c>
      <c r="F30" t="s">
        <v>134</v>
      </c>
      <c r="G30" s="2"/>
      <c r="I30" s="2"/>
    </row>
    <row r="31" spans="1:9" ht="47" customHeight="1">
      <c r="A31" s="4">
        <v>23</v>
      </c>
      <c r="B31" s="2" t="s">
        <v>110</v>
      </c>
      <c r="C31" s="2" t="s">
        <v>111</v>
      </c>
      <c r="D31" s="4" t="s">
        <v>47</v>
      </c>
      <c r="E31" s="4">
        <v>2</v>
      </c>
      <c r="F31" t="s">
        <v>135</v>
      </c>
      <c r="G31" s="2"/>
      <c r="I31" s="2"/>
    </row>
    <row r="32" spans="1:9" ht="47" customHeight="1">
      <c r="A32" s="4">
        <v>24</v>
      </c>
      <c r="B32" s="2" t="s">
        <v>110</v>
      </c>
      <c r="C32" s="2" t="s">
        <v>111</v>
      </c>
      <c r="D32" s="4" t="s">
        <v>47</v>
      </c>
      <c r="E32" s="4">
        <v>2</v>
      </c>
      <c r="F32" t="s">
        <v>136</v>
      </c>
      <c r="G32" s="2"/>
      <c r="I32" s="2"/>
    </row>
    <row r="33" spans="1:9" ht="47" customHeight="1">
      <c r="A33" s="4">
        <v>25</v>
      </c>
      <c r="B33" s="2" t="s">
        <v>110</v>
      </c>
      <c r="C33" s="2" t="s">
        <v>111</v>
      </c>
      <c r="D33" s="4" t="s">
        <v>47</v>
      </c>
      <c r="E33" s="4">
        <v>2</v>
      </c>
      <c r="F33" t="s">
        <v>137</v>
      </c>
      <c r="G33" s="2"/>
      <c r="I33" s="2"/>
    </row>
    <row r="34" spans="1:9" ht="47" customHeight="1">
      <c r="A34" s="4">
        <v>26</v>
      </c>
      <c r="B34" s="2" t="s">
        <v>110</v>
      </c>
      <c r="C34" s="2" t="s">
        <v>111</v>
      </c>
      <c r="D34" s="4" t="s">
        <v>47</v>
      </c>
      <c r="E34" s="4">
        <v>2</v>
      </c>
      <c r="F34" t="s">
        <v>138</v>
      </c>
      <c r="G34" s="2"/>
      <c r="I34" s="2"/>
    </row>
    <row r="35" spans="1:9" ht="47" customHeight="1">
      <c r="A35" s="4">
        <v>27</v>
      </c>
      <c r="B35" s="2" t="s">
        <v>110</v>
      </c>
      <c r="C35" s="2" t="s">
        <v>111</v>
      </c>
      <c r="D35" s="4" t="s">
        <v>47</v>
      </c>
      <c r="E35" s="4">
        <v>2</v>
      </c>
      <c r="F35" t="s">
        <v>139</v>
      </c>
      <c r="G35" s="2"/>
      <c r="I35" s="2"/>
    </row>
    <row r="36" spans="1:9" ht="47" customHeight="1">
      <c r="A36" s="4">
        <v>28</v>
      </c>
      <c r="B36" s="2" t="s">
        <v>110</v>
      </c>
      <c r="C36" s="2" t="s">
        <v>111</v>
      </c>
      <c r="D36" s="4" t="s">
        <v>47</v>
      </c>
      <c r="E36" s="4">
        <v>2</v>
      </c>
      <c r="F36" t="s">
        <v>140</v>
      </c>
      <c r="G36" s="2"/>
      <c r="I36" s="2"/>
    </row>
    <row r="37" spans="1:9" ht="47" customHeight="1">
      <c r="A37" s="4">
        <v>29</v>
      </c>
      <c r="B37" s="2" t="s">
        <v>110</v>
      </c>
      <c r="C37" s="2" t="s">
        <v>111</v>
      </c>
      <c r="D37" s="4" t="s">
        <v>47</v>
      </c>
      <c r="E37" s="4">
        <v>2</v>
      </c>
      <c r="F37" t="s">
        <v>141</v>
      </c>
      <c r="G37" s="2"/>
      <c r="I37" s="2"/>
    </row>
    <row r="38" spans="1:9" ht="15">
      <c r="A38" s="4">
        <v>30</v>
      </c>
      <c r="B38" s="10" t="s">
        <v>37</v>
      </c>
      <c r="C38" s="10" t="s">
        <v>38</v>
      </c>
      <c r="D38" s="11" t="s">
        <v>16</v>
      </c>
      <c r="E38" s="10" t="s">
        <v>39</v>
      </c>
      <c r="F38" s="10" t="s">
        <v>112</v>
      </c>
    </row>
  </sheetData>
  <mergeCells count="5">
    <mergeCell ref="A7:G7"/>
    <mergeCell ref="A1:G1"/>
    <mergeCell ref="B3:G3"/>
    <mergeCell ref="B4:G4"/>
    <mergeCell ref="B5:G5"/>
  </mergeCells>
  <phoneticPr fontId="5"/>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1"/>
  <sheetViews>
    <sheetView workbookViewId="0"/>
  </sheetViews>
  <sheetFormatPr baseColWidth="10" defaultColWidth="8.83203125" defaultRowHeight="14"/>
  <cols>
    <col min="1" max="1" width="13" customWidth="1"/>
    <col min="2" max="2" width="34" customWidth="1"/>
    <col min="3" max="3" width="56" customWidth="1"/>
    <col min="4" max="4" width="12" customWidth="1"/>
    <col min="5" max="5" width="38" customWidth="1"/>
    <col min="6" max="6" width="52" customWidth="1"/>
  </cols>
  <sheetData>
    <row r="1" spans="1:6" ht="49.75" customHeight="1">
      <c r="A1" s="27" t="s">
        <v>0</v>
      </c>
      <c r="B1" s="27"/>
      <c r="C1" s="27"/>
      <c r="D1" s="27"/>
      <c r="E1" s="27"/>
      <c r="F1" s="27"/>
    </row>
    <row r="2" spans="1:6">
      <c r="A2" s="1"/>
      <c r="B2" s="1"/>
      <c r="C2" s="1"/>
      <c r="D2" s="1"/>
      <c r="E2" s="1"/>
      <c r="F2" s="1"/>
    </row>
    <row r="3" spans="1:6" ht="39" customHeight="1">
      <c r="A3" s="5" t="s">
        <v>1</v>
      </c>
      <c r="B3" s="28" t="s">
        <v>142</v>
      </c>
      <c r="C3" s="28"/>
      <c r="D3" s="28"/>
      <c r="E3" s="28"/>
      <c r="F3" s="28"/>
    </row>
    <row r="4" spans="1:6" ht="39" customHeight="1">
      <c r="A4" s="5" t="s">
        <v>3</v>
      </c>
      <c r="B4" s="28" t="s">
        <v>4</v>
      </c>
      <c r="C4" s="28"/>
      <c r="D4" s="28"/>
      <c r="E4" s="28"/>
      <c r="F4" s="28"/>
    </row>
    <row r="5" spans="1:6" ht="39" customHeight="1">
      <c r="A5" s="5" t="s">
        <v>5</v>
      </c>
      <c r="B5" s="28" t="s">
        <v>6</v>
      </c>
      <c r="C5" s="28"/>
      <c r="D5" s="28"/>
      <c r="E5" s="28"/>
      <c r="F5" s="28"/>
    </row>
    <row r="6" spans="1:6">
      <c r="A6" s="1"/>
      <c r="B6" s="1"/>
      <c r="C6" s="1"/>
      <c r="D6" s="1"/>
      <c r="E6" s="1"/>
      <c r="F6" s="1"/>
    </row>
    <row r="7" spans="1:6" ht="15">
      <c r="A7" s="26" t="s">
        <v>7</v>
      </c>
      <c r="B7" s="26"/>
      <c r="C7" s="26"/>
      <c r="D7" s="26"/>
      <c r="E7" s="26"/>
      <c r="F7" s="26"/>
    </row>
    <row r="8" spans="1:6" ht="46.25" customHeight="1">
      <c r="A8" s="3" t="s">
        <v>8</v>
      </c>
      <c r="B8" s="3" t="s">
        <v>9</v>
      </c>
      <c r="C8" s="3" t="s">
        <v>10</v>
      </c>
      <c r="D8" s="3" t="s">
        <v>11</v>
      </c>
      <c r="E8" s="3" t="s">
        <v>12</v>
      </c>
      <c r="F8" s="3" t="s">
        <v>13</v>
      </c>
    </row>
    <row r="9" spans="1:6" ht="60">
      <c r="A9" s="4">
        <v>1</v>
      </c>
      <c r="B9" s="2" t="s">
        <v>143</v>
      </c>
      <c r="C9" s="2" t="s">
        <v>144</v>
      </c>
      <c r="D9" s="4" t="s">
        <v>16</v>
      </c>
      <c r="E9" s="2" t="s">
        <v>145</v>
      </c>
      <c r="F9" s="2"/>
    </row>
    <row r="10" spans="1:6" ht="47" customHeight="1">
      <c r="A10" s="4">
        <v>2</v>
      </c>
      <c r="B10" s="2" t="s">
        <v>143</v>
      </c>
      <c r="C10" s="2" t="s">
        <v>146</v>
      </c>
      <c r="D10" s="4" t="s">
        <v>16</v>
      </c>
      <c r="E10" s="2" t="s">
        <v>43</v>
      </c>
      <c r="F10" s="2"/>
    </row>
    <row r="11" spans="1:6" ht="15">
      <c r="A11" s="4">
        <v>3</v>
      </c>
      <c r="B11" s="10" t="s">
        <v>37</v>
      </c>
      <c r="C11" s="10" t="s">
        <v>38</v>
      </c>
      <c r="D11" s="11" t="s">
        <v>16</v>
      </c>
      <c r="E11" s="10" t="s">
        <v>39</v>
      </c>
    </row>
  </sheetData>
  <mergeCells count="5">
    <mergeCell ref="A7:F7"/>
    <mergeCell ref="A1:F1"/>
    <mergeCell ref="B3:F3"/>
    <mergeCell ref="B4:F4"/>
    <mergeCell ref="B5:F5"/>
  </mergeCells>
  <phoneticPr fontId="5"/>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23"/>
  <sheetViews>
    <sheetView workbookViewId="0"/>
  </sheetViews>
  <sheetFormatPr baseColWidth="10" defaultColWidth="8.83203125" defaultRowHeight="14"/>
  <cols>
    <col min="1" max="1" width="13" customWidth="1"/>
    <col min="2" max="2" width="34" customWidth="1"/>
    <col min="3" max="3" width="56" customWidth="1"/>
    <col min="4" max="4" width="12" customWidth="1"/>
    <col min="5" max="5" width="38" customWidth="1"/>
    <col min="6" max="6" width="52" customWidth="1"/>
  </cols>
  <sheetData>
    <row r="1" spans="1:6" ht="49.75" customHeight="1">
      <c r="A1" s="27" t="s">
        <v>0</v>
      </c>
      <c r="B1" s="27"/>
      <c r="C1" s="27"/>
      <c r="D1" s="27"/>
      <c r="E1" s="27"/>
      <c r="F1" s="27"/>
    </row>
    <row r="2" spans="1:6">
      <c r="A2" s="1"/>
      <c r="B2" s="1"/>
      <c r="C2" s="1"/>
      <c r="D2" s="1"/>
      <c r="E2" s="1"/>
      <c r="F2" s="1"/>
    </row>
    <row r="3" spans="1:6" ht="39" customHeight="1">
      <c r="A3" s="5" t="s">
        <v>1</v>
      </c>
      <c r="B3" s="28" t="s">
        <v>147</v>
      </c>
      <c r="C3" s="28"/>
      <c r="D3" s="28"/>
      <c r="E3" s="28"/>
      <c r="F3" s="28"/>
    </row>
    <row r="4" spans="1:6" ht="39" customHeight="1">
      <c r="A4" s="5" t="s">
        <v>3</v>
      </c>
      <c r="B4" s="28" t="s">
        <v>4</v>
      </c>
      <c r="C4" s="28"/>
      <c r="D4" s="28"/>
      <c r="E4" s="28"/>
      <c r="F4" s="28"/>
    </row>
    <row r="5" spans="1:6" ht="39" customHeight="1">
      <c r="A5" s="5" t="s">
        <v>5</v>
      </c>
      <c r="B5" s="28" t="s">
        <v>6</v>
      </c>
      <c r="C5" s="28"/>
      <c r="D5" s="28"/>
      <c r="E5" s="28"/>
      <c r="F5" s="28"/>
    </row>
    <row r="6" spans="1:6">
      <c r="A6" s="1"/>
      <c r="B6" s="1"/>
      <c r="C6" s="1"/>
      <c r="D6" s="1"/>
      <c r="E6" s="1"/>
      <c r="F6" s="1"/>
    </row>
    <row r="7" spans="1:6" ht="15">
      <c r="A7" s="26" t="s">
        <v>7</v>
      </c>
      <c r="B7" s="26"/>
      <c r="C7" s="26"/>
      <c r="D7" s="26"/>
      <c r="E7" s="26"/>
      <c r="F7" s="26"/>
    </row>
    <row r="8" spans="1:6" ht="46.25" customHeight="1">
      <c r="A8" s="3" t="s">
        <v>8</v>
      </c>
      <c r="B8" s="3" t="s">
        <v>9</v>
      </c>
      <c r="C8" s="3" t="s">
        <v>10</v>
      </c>
      <c r="D8" s="3" t="s">
        <v>11</v>
      </c>
      <c r="E8" s="3" t="s">
        <v>12</v>
      </c>
      <c r="F8" s="3" t="s">
        <v>13</v>
      </c>
    </row>
    <row r="9" spans="1:6" ht="47" customHeight="1">
      <c r="A9" s="4">
        <v>1</v>
      </c>
      <c r="B9" s="2" t="s">
        <v>148</v>
      </c>
      <c r="C9" s="2" t="s">
        <v>149</v>
      </c>
      <c r="D9" s="4" t="s">
        <v>16</v>
      </c>
      <c r="E9" s="2" t="s">
        <v>43</v>
      </c>
      <c r="F9" s="2"/>
    </row>
    <row r="10" spans="1:6" ht="47" customHeight="1">
      <c r="A10" s="4">
        <v>2</v>
      </c>
      <c r="B10" s="2" t="s">
        <v>150</v>
      </c>
      <c r="C10" s="2" t="s">
        <v>151</v>
      </c>
      <c r="D10" s="4" t="s">
        <v>16</v>
      </c>
      <c r="E10" s="2" t="s">
        <v>152</v>
      </c>
      <c r="F10" s="2"/>
    </row>
    <row r="11" spans="1:6" ht="47" customHeight="1">
      <c r="A11" s="4">
        <v>3</v>
      </c>
      <c r="B11" s="2" t="s">
        <v>148</v>
      </c>
      <c r="C11" s="2" t="s">
        <v>149</v>
      </c>
      <c r="D11" s="4" t="s">
        <v>47</v>
      </c>
      <c r="E11" s="2" t="s">
        <v>43</v>
      </c>
      <c r="F11" s="2"/>
    </row>
    <row r="12" spans="1:6" ht="47" customHeight="1">
      <c r="A12" s="4">
        <v>4</v>
      </c>
      <c r="B12" s="2" t="s">
        <v>150</v>
      </c>
      <c r="C12" s="2" t="s">
        <v>151</v>
      </c>
      <c r="D12" s="4" t="s">
        <v>47</v>
      </c>
      <c r="E12" s="2" t="s">
        <v>152</v>
      </c>
      <c r="F12" s="2"/>
    </row>
    <row r="13" spans="1:6" ht="47" customHeight="1">
      <c r="A13" s="4">
        <v>5</v>
      </c>
      <c r="B13" s="2" t="s">
        <v>148</v>
      </c>
      <c r="C13" s="2" t="s">
        <v>153</v>
      </c>
      <c r="D13" s="4" t="s">
        <v>16</v>
      </c>
      <c r="E13" s="2" t="s">
        <v>43</v>
      </c>
      <c r="F13" s="2"/>
    </row>
    <row r="14" spans="1:6" ht="45">
      <c r="A14" s="4">
        <v>6</v>
      </c>
      <c r="B14" s="2" t="s">
        <v>154</v>
      </c>
      <c r="C14" s="2" t="s">
        <v>155</v>
      </c>
      <c r="D14" s="4" t="s">
        <v>16</v>
      </c>
      <c r="E14" s="12" t="b">
        <v>0</v>
      </c>
      <c r="F14" s="2"/>
    </row>
    <row r="15" spans="1:6" ht="47" customHeight="1">
      <c r="A15" s="4">
        <v>7</v>
      </c>
      <c r="B15" s="2" t="s">
        <v>148</v>
      </c>
      <c r="C15" s="2" t="s">
        <v>153</v>
      </c>
      <c r="D15" s="4" t="s">
        <v>47</v>
      </c>
      <c r="E15" s="2" t="s">
        <v>43</v>
      </c>
      <c r="F15" s="2"/>
    </row>
    <row r="16" spans="1:6" ht="45">
      <c r="A16" s="4">
        <v>8</v>
      </c>
      <c r="B16" s="2" t="s">
        <v>154</v>
      </c>
      <c r="C16" s="2" t="s">
        <v>155</v>
      </c>
      <c r="D16" s="4" t="s">
        <v>47</v>
      </c>
      <c r="E16" s="12" t="b">
        <v>0</v>
      </c>
      <c r="F16" s="2"/>
    </row>
    <row r="17" spans="1:6" ht="47" customHeight="1">
      <c r="A17" s="4">
        <v>9</v>
      </c>
      <c r="B17" s="2" t="s">
        <v>148</v>
      </c>
      <c r="C17" s="2" t="s">
        <v>156</v>
      </c>
      <c r="D17" s="4" t="s">
        <v>16</v>
      </c>
      <c r="E17" s="2" t="s">
        <v>43</v>
      </c>
      <c r="F17" s="2"/>
    </row>
    <row r="18" spans="1:6" ht="47" customHeight="1">
      <c r="A18" s="4">
        <v>10</v>
      </c>
      <c r="B18" s="2" t="s">
        <v>157</v>
      </c>
      <c r="C18" s="2" t="s">
        <v>158</v>
      </c>
      <c r="D18" s="4" t="s">
        <v>16</v>
      </c>
      <c r="E18" s="12" t="b">
        <v>0</v>
      </c>
      <c r="F18" s="2"/>
    </row>
    <row r="19" spans="1:6" ht="47" customHeight="1">
      <c r="A19" s="4">
        <v>11</v>
      </c>
      <c r="B19" s="2" t="s">
        <v>157</v>
      </c>
      <c r="C19" s="2" t="s">
        <v>159</v>
      </c>
      <c r="D19" s="4" t="s">
        <v>16</v>
      </c>
      <c r="E19" s="2" t="s">
        <v>160</v>
      </c>
      <c r="F19" s="2"/>
    </row>
    <row r="20" spans="1:6" ht="47" customHeight="1">
      <c r="A20" s="4">
        <v>12</v>
      </c>
      <c r="B20" s="2" t="s">
        <v>148</v>
      </c>
      <c r="C20" s="2" t="s">
        <v>156</v>
      </c>
      <c r="D20" s="4" t="s">
        <v>47</v>
      </c>
      <c r="E20" s="2" t="s">
        <v>43</v>
      </c>
      <c r="F20" s="2"/>
    </row>
    <row r="21" spans="1:6" ht="47" customHeight="1">
      <c r="A21" s="4">
        <v>13</v>
      </c>
      <c r="B21" s="2" t="s">
        <v>157</v>
      </c>
      <c r="C21" s="2" t="s">
        <v>158</v>
      </c>
      <c r="D21" s="4" t="s">
        <v>47</v>
      </c>
      <c r="E21" s="12" t="b">
        <v>0</v>
      </c>
      <c r="F21" s="2"/>
    </row>
    <row r="22" spans="1:6" ht="47" customHeight="1">
      <c r="A22" s="4">
        <v>14</v>
      </c>
      <c r="B22" s="2" t="s">
        <v>157</v>
      </c>
      <c r="C22" s="2" t="s">
        <v>159</v>
      </c>
      <c r="D22" s="4" t="s">
        <v>47</v>
      </c>
      <c r="E22" s="2" t="s">
        <v>160</v>
      </c>
      <c r="F22" s="2"/>
    </row>
    <row r="23" spans="1:6" ht="15">
      <c r="A23" s="4">
        <v>15</v>
      </c>
      <c r="B23" s="10" t="s">
        <v>37</v>
      </c>
      <c r="C23" s="10" t="s">
        <v>38</v>
      </c>
      <c r="D23" s="11" t="s">
        <v>16</v>
      </c>
      <c r="E23" s="10" t="s">
        <v>39</v>
      </c>
    </row>
  </sheetData>
  <mergeCells count="5">
    <mergeCell ref="A7:F7"/>
    <mergeCell ref="A1:F1"/>
    <mergeCell ref="B3:F3"/>
    <mergeCell ref="B4:F4"/>
    <mergeCell ref="B5:F5"/>
  </mergeCells>
  <phoneticPr fontId="5"/>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16"/>
  <sheetViews>
    <sheetView workbookViewId="0"/>
  </sheetViews>
  <sheetFormatPr baseColWidth="10" defaultColWidth="8.83203125" defaultRowHeight="14"/>
  <cols>
    <col min="1" max="1" width="13" customWidth="1"/>
    <col min="2" max="2" width="34" customWidth="1"/>
    <col min="3" max="3" width="56" customWidth="1"/>
    <col min="4" max="4" width="12" customWidth="1"/>
    <col min="5" max="5" width="38" customWidth="1"/>
    <col min="6" max="6" width="52" customWidth="1"/>
  </cols>
  <sheetData>
    <row r="1" spans="1:6" ht="49.75" customHeight="1">
      <c r="A1" s="27" t="s">
        <v>0</v>
      </c>
      <c r="B1" s="27"/>
      <c r="C1" s="27"/>
      <c r="D1" s="27"/>
      <c r="E1" s="27"/>
      <c r="F1" s="27"/>
    </row>
    <row r="2" spans="1:6">
      <c r="A2" s="1"/>
      <c r="B2" s="1"/>
      <c r="C2" s="1"/>
      <c r="D2" s="1"/>
      <c r="E2" s="1"/>
      <c r="F2" s="1"/>
    </row>
    <row r="3" spans="1:6" ht="39" customHeight="1">
      <c r="A3" s="5" t="s">
        <v>1</v>
      </c>
      <c r="B3" s="28" t="s">
        <v>161</v>
      </c>
      <c r="C3" s="28"/>
      <c r="D3" s="28"/>
      <c r="E3" s="28"/>
      <c r="F3" s="28"/>
    </row>
    <row r="4" spans="1:6" ht="39" customHeight="1">
      <c r="A4" s="5" t="s">
        <v>3</v>
      </c>
      <c r="B4" s="28" t="s">
        <v>4</v>
      </c>
      <c r="C4" s="28"/>
      <c r="D4" s="28"/>
      <c r="E4" s="28"/>
      <c r="F4" s="28"/>
    </row>
    <row r="5" spans="1:6" ht="39" customHeight="1">
      <c r="A5" s="5" t="s">
        <v>5</v>
      </c>
      <c r="B5" s="28" t="s">
        <v>6</v>
      </c>
      <c r="C5" s="28"/>
      <c r="D5" s="28"/>
      <c r="E5" s="28"/>
      <c r="F5" s="28"/>
    </row>
    <row r="6" spans="1:6">
      <c r="A6" s="1"/>
      <c r="B6" s="1"/>
      <c r="C6" s="1"/>
      <c r="D6" s="1"/>
      <c r="E6" s="1"/>
      <c r="F6" s="1"/>
    </row>
    <row r="7" spans="1:6" ht="15">
      <c r="A7" s="26" t="s">
        <v>7</v>
      </c>
      <c r="B7" s="26"/>
      <c r="C7" s="26"/>
      <c r="D7" s="26"/>
      <c r="E7" s="26"/>
      <c r="F7" s="26"/>
    </row>
    <row r="8" spans="1:6" ht="46.25" customHeight="1">
      <c r="A8" s="3" t="s">
        <v>8</v>
      </c>
      <c r="B8" s="3" t="s">
        <v>9</v>
      </c>
      <c r="C8" s="3" t="s">
        <v>10</v>
      </c>
      <c r="D8" s="3" t="s">
        <v>11</v>
      </c>
      <c r="E8" s="3" t="s">
        <v>12</v>
      </c>
      <c r="F8" s="3" t="s">
        <v>13</v>
      </c>
    </row>
    <row r="9" spans="1:6" ht="26.75" customHeight="1">
      <c r="A9" s="4">
        <v>1</v>
      </c>
      <c r="B9" s="2" t="s">
        <v>162</v>
      </c>
      <c r="C9" s="2" t="s">
        <v>163</v>
      </c>
      <c r="D9" s="4" t="s">
        <v>47</v>
      </c>
      <c r="E9" s="2" t="s">
        <v>43</v>
      </c>
      <c r="F9" s="2"/>
    </row>
    <row r="10" spans="1:6" ht="26.75" customHeight="1">
      <c r="A10" s="4">
        <v>2</v>
      </c>
      <c r="B10" s="2" t="s">
        <v>162</v>
      </c>
      <c r="C10" s="2" t="s">
        <v>164</v>
      </c>
      <c r="D10" s="4" t="s">
        <v>47</v>
      </c>
      <c r="E10" s="2" t="s">
        <v>165</v>
      </c>
      <c r="F10" s="2"/>
    </row>
    <row r="11" spans="1:6" ht="26.75" customHeight="1">
      <c r="A11" s="4">
        <v>3</v>
      </c>
      <c r="B11" s="2" t="s">
        <v>162</v>
      </c>
      <c r="C11" s="2" t="s">
        <v>166</v>
      </c>
      <c r="D11" s="4" t="s">
        <v>47</v>
      </c>
      <c r="E11" s="2" t="s">
        <v>165</v>
      </c>
      <c r="F11" s="2"/>
    </row>
    <row r="12" spans="1:6" ht="26.75" customHeight="1">
      <c r="A12" s="4">
        <v>4</v>
      </c>
      <c r="B12" s="2" t="s">
        <v>162</v>
      </c>
      <c r="C12" s="2" t="s">
        <v>167</v>
      </c>
      <c r="D12" s="4" t="s">
        <v>47</v>
      </c>
      <c r="E12" s="2" t="s">
        <v>165</v>
      </c>
      <c r="F12" s="2"/>
    </row>
    <row r="13" spans="1:6" ht="26.75" customHeight="1">
      <c r="A13" s="4">
        <v>5</v>
      </c>
      <c r="B13" s="2" t="s">
        <v>162</v>
      </c>
      <c r="C13" s="2" t="s">
        <v>168</v>
      </c>
      <c r="D13" s="4" t="s">
        <v>47</v>
      </c>
      <c r="E13" s="2" t="s">
        <v>165</v>
      </c>
      <c r="F13" s="2"/>
    </row>
    <row r="14" spans="1:6" ht="26.75" customHeight="1">
      <c r="A14" s="4">
        <v>6</v>
      </c>
      <c r="B14" s="2" t="s">
        <v>162</v>
      </c>
      <c r="C14" s="2" t="s">
        <v>169</v>
      </c>
      <c r="D14" s="4" t="s">
        <v>47</v>
      </c>
      <c r="E14" s="2" t="s">
        <v>165</v>
      </c>
      <c r="F14" s="2"/>
    </row>
    <row r="15" spans="1:6" ht="47" customHeight="1">
      <c r="A15" s="4">
        <v>7</v>
      </c>
      <c r="B15" s="2" t="s">
        <v>170</v>
      </c>
      <c r="C15" s="2" t="s">
        <v>171</v>
      </c>
      <c r="D15" s="4" t="s">
        <v>47</v>
      </c>
      <c r="E15" s="2" t="s">
        <v>43</v>
      </c>
      <c r="F15" s="2"/>
    </row>
    <row r="16" spans="1:6" ht="15">
      <c r="A16" s="4">
        <v>8</v>
      </c>
      <c r="B16" s="10" t="s">
        <v>37</v>
      </c>
      <c r="C16" s="10" t="s">
        <v>38</v>
      </c>
      <c r="D16" s="11" t="s">
        <v>16</v>
      </c>
      <c r="E16" s="10" t="s">
        <v>39</v>
      </c>
    </row>
  </sheetData>
  <mergeCells count="5">
    <mergeCell ref="A7:F7"/>
    <mergeCell ref="A1:F1"/>
    <mergeCell ref="B3:F3"/>
    <mergeCell ref="B4:F4"/>
    <mergeCell ref="B5:F5"/>
  </mergeCells>
  <phoneticPr fontId="5"/>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2"/>
  <sheetViews>
    <sheetView workbookViewId="0"/>
  </sheetViews>
  <sheetFormatPr baseColWidth="10" defaultColWidth="8.83203125" defaultRowHeight="14"/>
  <cols>
    <col min="1" max="1" width="13" customWidth="1"/>
    <col min="2" max="2" width="34" customWidth="1"/>
    <col min="3" max="3" width="56" customWidth="1"/>
    <col min="4" max="4" width="12" customWidth="1"/>
    <col min="5" max="5" width="38" customWidth="1"/>
    <col min="6" max="6" width="52" customWidth="1"/>
  </cols>
  <sheetData>
    <row r="1" spans="1:6" ht="49.75" customHeight="1">
      <c r="A1" s="27" t="s">
        <v>0</v>
      </c>
      <c r="B1" s="27"/>
      <c r="C1" s="27"/>
      <c r="D1" s="27"/>
      <c r="E1" s="27"/>
      <c r="F1" s="27"/>
    </row>
    <row r="2" spans="1:6">
      <c r="A2" s="1"/>
      <c r="B2" s="1"/>
      <c r="C2" s="1"/>
      <c r="D2" s="1"/>
      <c r="E2" s="1"/>
      <c r="F2" s="1"/>
    </row>
    <row r="3" spans="1:6" ht="39" customHeight="1">
      <c r="A3" s="5" t="s">
        <v>1</v>
      </c>
      <c r="B3" s="28" t="s">
        <v>172</v>
      </c>
      <c r="C3" s="28"/>
      <c r="D3" s="28"/>
      <c r="E3" s="28"/>
      <c r="F3" s="28"/>
    </row>
    <row r="4" spans="1:6" ht="39" customHeight="1">
      <c r="A4" s="5" t="s">
        <v>3</v>
      </c>
      <c r="B4" s="28" t="s">
        <v>4</v>
      </c>
      <c r="C4" s="28"/>
      <c r="D4" s="28"/>
      <c r="E4" s="28"/>
      <c r="F4" s="28"/>
    </row>
    <row r="5" spans="1:6" ht="39" customHeight="1">
      <c r="A5" s="5" t="s">
        <v>5</v>
      </c>
      <c r="B5" s="28" t="s">
        <v>6</v>
      </c>
      <c r="C5" s="28"/>
      <c r="D5" s="28"/>
      <c r="E5" s="28"/>
      <c r="F5" s="28"/>
    </row>
    <row r="6" spans="1:6">
      <c r="A6" s="1"/>
      <c r="B6" s="1"/>
      <c r="C6" s="1"/>
      <c r="D6" s="1"/>
      <c r="E6" s="1"/>
      <c r="F6" s="1"/>
    </row>
    <row r="7" spans="1:6" ht="15">
      <c r="A7" s="26" t="s">
        <v>7</v>
      </c>
      <c r="B7" s="26"/>
      <c r="C7" s="26"/>
      <c r="D7" s="26"/>
      <c r="E7" s="26"/>
      <c r="F7" s="26"/>
    </row>
    <row r="8" spans="1:6" ht="46.25" customHeight="1">
      <c r="A8" s="3" t="s">
        <v>8</v>
      </c>
      <c r="B8" s="3" t="s">
        <v>9</v>
      </c>
      <c r="C8" s="3" t="s">
        <v>10</v>
      </c>
      <c r="D8" s="3" t="s">
        <v>11</v>
      </c>
      <c r="E8" s="3" t="s">
        <v>12</v>
      </c>
      <c r="F8" s="3" t="s">
        <v>13</v>
      </c>
    </row>
    <row r="9" spans="1:6" ht="26.75" customHeight="1">
      <c r="A9" s="4">
        <v>1</v>
      </c>
      <c r="B9" s="2" t="s">
        <v>173</v>
      </c>
      <c r="C9" s="2" t="s">
        <v>174</v>
      </c>
      <c r="D9" s="4" t="s">
        <v>47</v>
      </c>
      <c r="E9" s="2" t="s">
        <v>43</v>
      </c>
      <c r="F9" s="2" t="s">
        <v>175</v>
      </c>
    </row>
    <row r="10" spans="1:6" ht="26.75" customHeight="1">
      <c r="A10" s="4">
        <v>2</v>
      </c>
      <c r="B10" s="2" t="s">
        <v>173</v>
      </c>
      <c r="C10" s="2" t="s">
        <v>176</v>
      </c>
      <c r="D10" s="4" t="s">
        <v>47</v>
      </c>
      <c r="E10" s="2" t="s">
        <v>43</v>
      </c>
      <c r="F10" s="2" t="s">
        <v>175</v>
      </c>
    </row>
    <row r="11" spans="1:6" ht="26.75" customHeight="1">
      <c r="A11" s="4">
        <v>3</v>
      </c>
      <c r="B11" s="2" t="s">
        <v>173</v>
      </c>
      <c r="C11" s="2" t="s">
        <v>177</v>
      </c>
      <c r="D11" s="4" t="s">
        <v>47</v>
      </c>
      <c r="E11" s="2" t="s">
        <v>43</v>
      </c>
      <c r="F11" s="2" t="s">
        <v>175</v>
      </c>
    </row>
    <row r="12" spans="1:6" ht="15">
      <c r="A12" s="4">
        <v>4</v>
      </c>
      <c r="B12" s="10" t="s">
        <v>37</v>
      </c>
      <c r="C12" s="10" t="s">
        <v>38</v>
      </c>
      <c r="D12" s="11" t="s">
        <v>16</v>
      </c>
      <c r="E12" s="10" t="s">
        <v>39</v>
      </c>
    </row>
  </sheetData>
  <mergeCells count="5">
    <mergeCell ref="A7:F7"/>
    <mergeCell ref="A1:F1"/>
    <mergeCell ref="B3:F3"/>
    <mergeCell ref="B4:F4"/>
    <mergeCell ref="B5:F5"/>
  </mergeCells>
  <phoneticPr fontId="5"/>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13"/>
  <sheetViews>
    <sheetView workbookViewId="0"/>
  </sheetViews>
  <sheetFormatPr baseColWidth="10" defaultColWidth="8.83203125" defaultRowHeight="14"/>
  <cols>
    <col min="1" max="1" width="13" customWidth="1"/>
    <col min="2" max="2" width="34" customWidth="1"/>
    <col min="3" max="3" width="56" customWidth="1"/>
    <col min="4" max="4" width="12" customWidth="1"/>
    <col min="5" max="5" width="38" customWidth="1"/>
    <col min="6" max="6" width="52" customWidth="1"/>
  </cols>
  <sheetData>
    <row r="1" spans="1:6" ht="49.75" customHeight="1">
      <c r="A1" s="27" t="s">
        <v>0</v>
      </c>
      <c r="B1" s="27"/>
      <c r="C1" s="27"/>
      <c r="D1" s="27"/>
      <c r="E1" s="27"/>
      <c r="F1" s="27"/>
    </row>
    <row r="2" spans="1:6">
      <c r="A2" s="1"/>
      <c r="B2" s="1"/>
      <c r="C2" s="1"/>
      <c r="D2" s="1"/>
      <c r="E2" s="1"/>
      <c r="F2" s="1"/>
    </row>
    <row r="3" spans="1:6" ht="39" customHeight="1">
      <c r="A3" s="5" t="s">
        <v>1</v>
      </c>
      <c r="B3" s="28" t="s">
        <v>178</v>
      </c>
      <c r="C3" s="28"/>
      <c r="D3" s="28"/>
      <c r="E3" s="28"/>
      <c r="F3" s="28"/>
    </row>
    <row r="4" spans="1:6" ht="39" customHeight="1">
      <c r="A4" s="5" t="s">
        <v>3</v>
      </c>
      <c r="B4" s="28" t="s">
        <v>4</v>
      </c>
      <c r="C4" s="28"/>
      <c r="D4" s="28"/>
      <c r="E4" s="28"/>
      <c r="F4" s="28"/>
    </row>
    <row r="5" spans="1:6" ht="39" customHeight="1">
      <c r="A5" s="5" t="s">
        <v>5</v>
      </c>
      <c r="B5" s="28" t="s">
        <v>6</v>
      </c>
      <c r="C5" s="28"/>
      <c r="D5" s="28"/>
      <c r="E5" s="28"/>
      <c r="F5" s="28"/>
    </row>
    <row r="6" spans="1:6">
      <c r="A6" s="1"/>
      <c r="B6" s="1"/>
      <c r="C6" s="1"/>
      <c r="D6" s="1"/>
      <c r="E6" s="1"/>
      <c r="F6" s="1"/>
    </row>
    <row r="7" spans="1:6" ht="15">
      <c r="A7" s="26" t="s">
        <v>7</v>
      </c>
      <c r="B7" s="26"/>
      <c r="C7" s="26"/>
      <c r="D7" s="26"/>
      <c r="E7" s="26"/>
      <c r="F7" s="26"/>
    </row>
    <row r="8" spans="1:6" ht="46.25" customHeight="1">
      <c r="A8" s="3" t="s">
        <v>8</v>
      </c>
      <c r="B8" s="3" t="s">
        <v>9</v>
      </c>
      <c r="C8" s="3" t="s">
        <v>10</v>
      </c>
      <c r="D8" s="3" t="s">
        <v>11</v>
      </c>
      <c r="E8" s="3" t="s">
        <v>12</v>
      </c>
      <c r="F8" s="3" t="s">
        <v>13</v>
      </c>
    </row>
    <row r="9" spans="1:6" ht="47" customHeight="1">
      <c r="A9" s="4">
        <v>1</v>
      </c>
      <c r="B9" s="2" t="s">
        <v>179</v>
      </c>
      <c r="C9" s="2" t="s">
        <v>180</v>
      </c>
      <c r="D9" s="4" t="s">
        <v>16</v>
      </c>
      <c r="E9" s="2" t="s">
        <v>43</v>
      </c>
      <c r="F9" s="2"/>
    </row>
    <row r="10" spans="1:6" ht="47" customHeight="1">
      <c r="A10" s="4">
        <v>2</v>
      </c>
      <c r="B10" s="2" t="s">
        <v>179</v>
      </c>
      <c r="C10" s="2" t="s">
        <v>180</v>
      </c>
      <c r="D10" s="4" t="s">
        <v>47</v>
      </c>
      <c r="E10" s="2" t="s">
        <v>43</v>
      </c>
      <c r="F10" s="2"/>
    </row>
    <row r="11" spans="1:6" ht="36">
      <c r="A11" s="4">
        <v>3</v>
      </c>
      <c r="B11" s="2" t="s">
        <v>179</v>
      </c>
      <c r="C11" s="2" t="s">
        <v>181</v>
      </c>
      <c r="D11" s="4" t="s">
        <v>16</v>
      </c>
      <c r="E11" s="9" t="s">
        <v>182</v>
      </c>
      <c r="F11" s="2"/>
    </row>
    <row r="12" spans="1:6" ht="36">
      <c r="A12" s="4">
        <v>4</v>
      </c>
      <c r="B12" s="2" t="s">
        <v>179</v>
      </c>
      <c r="C12" s="2" t="s">
        <v>181</v>
      </c>
      <c r="D12" s="4" t="s">
        <v>47</v>
      </c>
      <c r="E12" s="9" t="s">
        <v>182</v>
      </c>
      <c r="F12" s="2"/>
    </row>
    <row r="13" spans="1:6" ht="15">
      <c r="A13" s="4">
        <v>5</v>
      </c>
      <c r="B13" s="2" t="s">
        <v>37</v>
      </c>
      <c r="C13" s="2" t="s">
        <v>38</v>
      </c>
      <c r="D13" s="4" t="s">
        <v>16</v>
      </c>
      <c r="E13" s="2" t="s">
        <v>39</v>
      </c>
    </row>
  </sheetData>
  <mergeCells count="5">
    <mergeCell ref="A7:F7"/>
    <mergeCell ref="A1:F1"/>
    <mergeCell ref="B3:F3"/>
    <mergeCell ref="B4:F4"/>
    <mergeCell ref="B5:F5"/>
  </mergeCells>
  <phoneticPr fontId="5"/>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3"/>
  <sheetViews>
    <sheetView workbookViewId="0"/>
  </sheetViews>
  <sheetFormatPr baseColWidth="10" defaultColWidth="8.83203125" defaultRowHeight="14"/>
  <cols>
    <col min="1" max="1" width="13" customWidth="1"/>
    <col min="2" max="2" width="34" customWidth="1"/>
    <col min="3" max="3" width="56" customWidth="1"/>
    <col min="4" max="4" width="12" customWidth="1"/>
    <col min="5" max="5" width="38" customWidth="1"/>
    <col min="6" max="6" width="52" customWidth="1"/>
  </cols>
  <sheetData>
    <row r="1" spans="1:6" ht="49.75" customHeight="1">
      <c r="A1" s="27" t="s">
        <v>0</v>
      </c>
      <c r="B1" s="27"/>
      <c r="C1" s="27"/>
      <c r="D1" s="27"/>
      <c r="E1" s="27"/>
      <c r="F1" s="27"/>
    </row>
    <row r="2" spans="1:6">
      <c r="A2" s="1"/>
      <c r="B2" s="1"/>
      <c r="C2" s="1"/>
      <c r="D2" s="1"/>
      <c r="E2" s="1"/>
      <c r="F2" s="1"/>
    </row>
    <row r="3" spans="1:6" ht="39" customHeight="1">
      <c r="A3" s="5" t="s">
        <v>1</v>
      </c>
      <c r="B3" s="28" t="s">
        <v>183</v>
      </c>
      <c r="C3" s="28"/>
      <c r="D3" s="28"/>
      <c r="E3" s="28"/>
      <c r="F3" s="28"/>
    </row>
    <row r="4" spans="1:6" ht="39" customHeight="1">
      <c r="A4" s="5" t="s">
        <v>3</v>
      </c>
      <c r="B4" s="28" t="s">
        <v>4</v>
      </c>
      <c r="C4" s="28"/>
      <c r="D4" s="28"/>
      <c r="E4" s="28"/>
      <c r="F4" s="28"/>
    </row>
    <row r="5" spans="1:6" ht="39" customHeight="1">
      <c r="A5" s="5" t="s">
        <v>5</v>
      </c>
      <c r="B5" s="28" t="s">
        <v>6</v>
      </c>
      <c r="C5" s="28"/>
      <c r="D5" s="28"/>
      <c r="E5" s="28"/>
      <c r="F5" s="28"/>
    </row>
    <row r="6" spans="1:6">
      <c r="A6" s="1"/>
      <c r="B6" s="1"/>
      <c r="C6" s="1"/>
      <c r="D6" s="1"/>
      <c r="E6" s="1"/>
      <c r="F6" s="1"/>
    </row>
    <row r="7" spans="1:6" ht="15">
      <c r="A7" s="26" t="s">
        <v>7</v>
      </c>
      <c r="B7" s="26"/>
      <c r="C7" s="26"/>
      <c r="D7" s="26"/>
      <c r="E7" s="26"/>
      <c r="F7" s="26"/>
    </row>
    <row r="8" spans="1:6" ht="46.25" customHeight="1">
      <c r="A8" s="3" t="s">
        <v>8</v>
      </c>
      <c r="B8" s="3" t="s">
        <v>9</v>
      </c>
      <c r="C8" s="3" t="s">
        <v>10</v>
      </c>
      <c r="D8" s="3" t="s">
        <v>11</v>
      </c>
      <c r="E8" s="3" t="s">
        <v>12</v>
      </c>
      <c r="F8" s="3" t="s">
        <v>13</v>
      </c>
    </row>
    <row r="9" spans="1:6" ht="47" customHeight="1">
      <c r="A9" s="4">
        <v>1</v>
      </c>
      <c r="B9" s="2" t="s">
        <v>184</v>
      </c>
      <c r="C9" s="2" t="s">
        <v>185</v>
      </c>
      <c r="D9" s="4" t="s">
        <v>16</v>
      </c>
      <c r="E9" s="2" t="s">
        <v>186</v>
      </c>
      <c r="F9" s="2"/>
    </row>
    <row r="10" spans="1:6" ht="47" customHeight="1">
      <c r="A10" s="4">
        <v>2</v>
      </c>
      <c r="B10" s="2" t="s">
        <v>184</v>
      </c>
      <c r="C10" s="2" t="s">
        <v>187</v>
      </c>
      <c r="D10" s="4" t="s">
        <v>16</v>
      </c>
      <c r="E10" s="2" t="s">
        <v>186</v>
      </c>
      <c r="F10" s="2"/>
    </row>
    <row r="11" spans="1:6" ht="47" customHeight="1">
      <c r="A11" s="4"/>
      <c r="B11" s="2" t="s">
        <v>184</v>
      </c>
      <c r="C11" s="2" t="s">
        <v>188</v>
      </c>
      <c r="D11" s="4" t="s">
        <v>16</v>
      </c>
      <c r="E11" s="2" t="s">
        <v>186</v>
      </c>
      <c r="F11" s="2"/>
    </row>
    <row r="12" spans="1:6" ht="47" customHeight="1">
      <c r="A12" s="4">
        <v>3</v>
      </c>
      <c r="B12" s="2" t="s">
        <v>189</v>
      </c>
      <c r="C12" s="2" t="s">
        <v>190</v>
      </c>
      <c r="D12" s="4" t="s">
        <v>16</v>
      </c>
      <c r="E12" s="2" t="s">
        <v>43</v>
      </c>
      <c r="F12" s="2"/>
    </row>
    <row r="13" spans="1:6" ht="15">
      <c r="A13" s="4">
        <v>4</v>
      </c>
      <c r="B13" s="2" t="s">
        <v>37</v>
      </c>
      <c r="C13" s="2" t="s">
        <v>38</v>
      </c>
      <c r="D13" s="4" t="s">
        <v>16</v>
      </c>
      <c r="E13" s="2" t="s">
        <v>39</v>
      </c>
    </row>
  </sheetData>
  <mergeCells count="5">
    <mergeCell ref="A7:F7"/>
    <mergeCell ref="A1:F1"/>
    <mergeCell ref="B3:F3"/>
    <mergeCell ref="B4:F4"/>
    <mergeCell ref="B5:F5"/>
  </mergeCells>
  <phoneticPr fontId="5"/>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19"/>
  <sheetViews>
    <sheetView workbookViewId="0"/>
  </sheetViews>
  <sheetFormatPr baseColWidth="10" defaultColWidth="8.83203125" defaultRowHeight="14"/>
  <cols>
    <col min="1" max="1" width="13" customWidth="1"/>
    <col min="2" max="2" width="34" customWidth="1"/>
    <col min="3" max="3" width="56" customWidth="1"/>
    <col min="4" max="4" width="12" customWidth="1"/>
    <col min="5" max="5" width="38" customWidth="1"/>
    <col min="6" max="6" width="52" customWidth="1"/>
  </cols>
  <sheetData>
    <row r="1" spans="1:6" ht="49.75" customHeight="1">
      <c r="A1" s="27" t="s">
        <v>0</v>
      </c>
      <c r="B1" s="27"/>
      <c r="C1" s="27"/>
      <c r="D1" s="27"/>
      <c r="E1" s="27"/>
      <c r="F1" s="27"/>
    </row>
    <row r="2" spans="1:6">
      <c r="A2" s="1"/>
      <c r="B2" s="1"/>
      <c r="C2" s="1"/>
      <c r="D2" s="1"/>
      <c r="E2" s="1"/>
      <c r="F2" s="1"/>
    </row>
    <row r="3" spans="1:6" ht="39" customHeight="1">
      <c r="A3" s="5" t="s">
        <v>1</v>
      </c>
      <c r="B3" s="28" t="s">
        <v>191</v>
      </c>
      <c r="C3" s="28"/>
      <c r="D3" s="28"/>
      <c r="E3" s="28"/>
      <c r="F3" s="28"/>
    </row>
    <row r="4" spans="1:6" ht="39" customHeight="1">
      <c r="A4" s="5" t="s">
        <v>3</v>
      </c>
      <c r="B4" s="28" t="s">
        <v>4</v>
      </c>
      <c r="C4" s="28"/>
      <c r="D4" s="28"/>
      <c r="E4" s="28"/>
      <c r="F4" s="28"/>
    </row>
    <row r="5" spans="1:6" ht="39" customHeight="1">
      <c r="A5" s="5" t="s">
        <v>5</v>
      </c>
      <c r="B5" s="28" t="s">
        <v>6</v>
      </c>
      <c r="C5" s="28"/>
      <c r="D5" s="28"/>
      <c r="E5" s="28"/>
      <c r="F5" s="28"/>
    </row>
    <row r="6" spans="1:6">
      <c r="A6" s="1"/>
      <c r="B6" s="1"/>
      <c r="C6" s="1"/>
      <c r="D6" s="1"/>
      <c r="E6" s="1"/>
      <c r="F6" s="1"/>
    </row>
    <row r="7" spans="1:6" ht="15">
      <c r="A7" s="26" t="s">
        <v>7</v>
      </c>
      <c r="B7" s="26"/>
      <c r="C7" s="26"/>
      <c r="D7" s="26"/>
      <c r="E7" s="26"/>
      <c r="F7" s="26"/>
    </row>
    <row r="8" spans="1:6" ht="46.25" customHeight="1">
      <c r="A8" s="3" t="s">
        <v>8</v>
      </c>
      <c r="B8" s="3" t="s">
        <v>9</v>
      </c>
      <c r="C8" s="3" t="s">
        <v>10</v>
      </c>
      <c r="D8" s="3" t="s">
        <v>11</v>
      </c>
      <c r="E8" s="3" t="s">
        <v>12</v>
      </c>
      <c r="F8" s="3" t="s">
        <v>13</v>
      </c>
    </row>
    <row r="9" spans="1:6" ht="47" customHeight="1">
      <c r="A9" s="4">
        <v>1</v>
      </c>
      <c r="B9" s="2" t="s">
        <v>192</v>
      </c>
      <c r="C9" s="2" t="s">
        <v>193</v>
      </c>
      <c r="D9" s="4" t="s">
        <v>16</v>
      </c>
      <c r="E9" s="2" t="s">
        <v>43</v>
      </c>
      <c r="F9" s="2"/>
    </row>
    <row r="10" spans="1:6" ht="47" customHeight="1">
      <c r="A10" s="4">
        <v>2</v>
      </c>
      <c r="B10" s="2" t="s">
        <v>192</v>
      </c>
      <c r="C10" s="2" t="s">
        <v>194</v>
      </c>
      <c r="D10" s="4" t="s">
        <v>16</v>
      </c>
      <c r="E10" s="2" t="s">
        <v>43</v>
      </c>
      <c r="F10" s="2"/>
    </row>
    <row r="11" spans="1:6" ht="47" customHeight="1">
      <c r="A11" s="4">
        <v>3</v>
      </c>
      <c r="B11" s="2" t="s">
        <v>192</v>
      </c>
      <c r="C11" s="2" t="s">
        <v>194</v>
      </c>
      <c r="D11" s="4" t="s">
        <v>47</v>
      </c>
      <c r="E11" s="2" t="s">
        <v>43</v>
      </c>
      <c r="F11" s="2"/>
    </row>
    <row r="12" spans="1:6" ht="47" customHeight="1">
      <c r="A12" s="4">
        <v>4</v>
      </c>
      <c r="B12" s="2" t="s">
        <v>192</v>
      </c>
      <c r="C12" s="2" t="s">
        <v>195</v>
      </c>
      <c r="D12" s="4" t="s">
        <v>16</v>
      </c>
      <c r="E12" s="2" t="s">
        <v>43</v>
      </c>
      <c r="F12" s="2"/>
    </row>
    <row r="13" spans="1:6" ht="47" customHeight="1">
      <c r="A13" s="4">
        <v>5</v>
      </c>
      <c r="B13" s="2" t="s">
        <v>192</v>
      </c>
      <c r="C13" s="2" t="s">
        <v>195</v>
      </c>
      <c r="D13" s="4" t="s">
        <v>47</v>
      </c>
      <c r="E13" s="2" t="s">
        <v>43</v>
      </c>
      <c r="F13" s="2"/>
    </row>
    <row r="14" spans="1:6" ht="47" customHeight="1">
      <c r="A14" s="4">
        <v>6</v>
      </c>
      <c r="B14" s="2" t="s">
        <v>192</v>
      </c>
      <c r="C14" s="2" t="s">
        <v>196</v>
      </c>
      <c r="D14" s="4" t="s">
        <v>16</v>
      </c>
      <c r="E14" s="2" t="s">
        <v>43</v>
      </c>
      <c r="F14" s="2"/>
    </row>
    <row r="15" spans="1:6" ht="47" customHeight="1">
      <c r="A15" s="4">
        <v>7</v>
      </c>
      <c r="B15" s="2" t="s">
        <v>192</v>
      </c>
      <c r="C15" s="2" t="s">
        <v>197</v>
      </c>
      <c r="D15" s="4" t="s">
        <v>16</v>
      </c>
      <c r="E15" s="2" t="s">
        <v>43</v>
      </c>
      <c r="F15" s="2"/>
    </row>
    <row r="16" spans="1:6" ht="47" customHeight="1">
      <c r="A16" s="4">
        <v>8</v>
      </c>
      <c r="B16" s="2" t="s">
        <v>192</v>
      </c>
      <c r="C16" s="2" t="s">
        <v>197</v>
      </c>
      <c r="D16" s="4" t="s">
        <v>47</v>
      </c>
      <c r="E16" s="2" t="s">
        <v>43</v>
      </c>
      <c r="F16" s="2"/>
    </row>
    <row r="17" spans="1:6" ht="47" customHeight="1">
      <c r="A17" s="4">
        <v>9</v>
      </c>
      <c r="B17" s="2" t="s">
        <v>192</v>
      </c>
      <c r="C17" s="2" t="s">
        <v>198</v>
      </c>
      <c r="D17" s="4" t="s">
        <v>47</v>
      </c>
      <c r="E17" s="2" t="s">
        <v>43</v>
      </c>
      <c r="F17" s="2"/>
    </row>
    <row r="18" spans="1:6" ht="26.75" customHeight="1">
      <c r="A18" s="4">
        <v>10</v>
      </c>
      <c r="B18" s="2" t="s">
        <v>199</v>
      </c>
      <c r="C18" s="2" t="s">
        <v>200</v>
      </c>
      <c r="D18" s="4" t="s">
        <v>16</v>
      </c>
      <c r="E18" s="2" t="s">
        <v>46</v>
      </c>
      <c r="F18" s="2"/>
    </row>
    <row r="19" spans="1:6" ht="15">
      <c r="A19" s="4">
        <v>11</v>
      </c>
      <c r="B19" s="2" t="s">
        <v>37</v>
      </c>
      <c r="C19" s="2" t="s">
        <v>38</v>
      </c>
      <c r="D19" s="4" t="s">
        <v>16</v>
      </c>
      <c r="E19" s="2" t="s">
        <v>39</v>
      </c>
    </row>
  </sheetData>
  <mergeCells count="5">
    <mergeCell ref="A7:F7"/>
    <mergeCell ref="A1:F1"/>
    <mergeCell ref="B3:F3"/>
    <mergeCell ref="B4:F4"/>
    <mergeCell ref="B5:F5"/>
  </mergeCells>
  <phoneticPr fontId="5"/>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10"/>
  <sheetViews>
    <sheetView workbookViewId="0">
      <selection sqref="A1:F1"/>
    </sheetView>
  </sheetViews>
  <sheetFormatPr baseColWidth="10" defaultColWidth="8.83203125" defaultRowHeight="14"/>
  <cols>
    <col min="1" max="1" width="13" customWidth="1"/>
    <col min="2" max="2" width="42.5" customWidth="1"/>
    <col min="3" max="3" width="56" customWidth="1"/>
    <col min="4" max="4" width="12" customWidth="1"/>
    <col min="5" max="5" width="38" customWidth="1"/>
    <col min="6" max="6" width="52" customWidth="1"/>
  </cols>
  <sheetData>
    <row r="1" spans="1:6" ht="49.75" customHeight="1">
      <c r="A1" s="27" t="s">
        <v>0</v>
      </c>
      <c r="B1" s="27"/>
      <c r="C1" s="27"/>
      <c r="D1" s="27"/>
      <c r="E1" s="27"/>
      <c r="F1" s="27"/>
    </row>
    <row r="2" spans="1:6">
      <c r="A2" s="1"/>
      <c r="B2" s="1"/>
      <c r="C2" s="1"/>
      <c r="D2" s="1"/>
      <c r="E2" s="1"/>
      <c r="F2" s="1"/>
    </row>
    <row r="3" spans="1:6" ht="39" customHeight="1">
      <c r="A3" s="5" t="s">
        <v>1</v>
      </c>
      <c r="B3" s="28" t="s">
        <v>201</v>
      </c>
      <c r="C3" s="28"/>
      <c r="D3" s="28"/>
      <c r="E3" s="28"/>
      <c r="F3" s="28"/>
    </row>
    <row r="4" spans="1:6" ht="39" customHeight="1">
      <c r="A4" s="5" t="s">
        <v>3</v>
      </c>
      <c r="B4" s="28" t="s">
        <v>4</v>
      </c>
      <c r="C4" s="28"/>
      <c r="D4" s="28"/>
      <c r="E4" s="28"/>
      <c r="F4" s="28"/>
    </row>
    <row r="5" spans="1:6" ht="39" customHeight="1">
      <c r="A5" s="5" t="s">
        <v>5</v>
      </c>
      <c r="B5" s="28" t="s">
        <v>6</v>
      </c>
      <c r="C5" s="28"/>
      <c r="D5" s="28"/>
      <c r="E5" s="28"/>
      <c r="F5" s="28"/>
    </row>
    <row r="6" spans="1:6">
      <c r="A6" s="1"/>
      <c r="B6" s="1"/>
      <c r="C6" s="1"/>
      <c r="D6" s="1"/>
      <c r="E6" s="1"/>
      <c r="F6" s="1"/>
    </row>
    <row r="7" spans="1:6" ht="15">
      <c r="A7" s="26" t="s">
        <v>7</v>
      </c>
      <c r="B7" s="26"/>
      <c r="C7" s="26"/>
      <c r="D7" s="26"/>
      <c r="E7" s="26"/>
      <c r="F7" s="26"/>
    </row>
    <row r="8" spans="1:6" ht="46.25" customHeight="1">
      <c r="A8" s="3" t="s">
        <v>8</v>
      </c>
      <c r="B8" s="3" t="s">
        <v>9</v>
      </c>
      <c r="C8" s="3" t="s">
        <v>10</v>
      </c>
      <c r="D8" s="3" t="s">
        <v>11</v>
      </c>
      <c r="E8" s="3" t="s">
        <v>12</v>
      </c>
      <c r="F8" s="3" t="s">
        <v>13</v>
      </c>
    </row>
    <row r="9" spans="1:6" ht="47" customHeight="1">
      <c r="A9" s="8">
        <v>1</v>
      </c>
      <c r="B9" s="2" t="s">
        <v>202</v>
      </c>
      <c r="C9" s="2" t="s">
        <v>203</v>
      </c>
      <c r="D9" s="4" t="s">
        <v>16</v>
      </c>
      <c r="E9" s="2" t="s">
        <v>204</v>
      </c>
      <c r="F9" s="2"/>
    </row>
    <row r="10" spans="1:6" ht="15">
      <c r="A10" s="6">
        <v>2</v>
      </c>
      <c r="B10" s="2" t="s">
        <v>37</v>
      </c>
      <c r="C10" s="2" t="s">
        <v>38</v>
      </c>
      <c r="D10" s="4" t="s">
        <v>16</v>
      </c>
      <c r="E10" s="2" t="s">
        <v>39</v>
      </c>
    </row>
  </sheetData>
  <mergeCells count="5">
    <mergeCell ref="A1:F1"/>
    <mergeCell ref="B3:F3"/>
    <mergeCell ref="B4:F4"/>
    <mergeCell ref="B5:F5"/>
    <mergeCell ref="A7:F7"/>
  </mergeCells>
  <phoneticPr fontId="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17</vt:i4>
      </vt:variant>
    </vt:vector>
  </HeadingPairs>
  <TitlesOfParts>
    <vt:vector size="17" baseType="lpstr">
      <vt:lpstr>local admin account password po</vt:lpstr>
      <vt:lpstr>EdgeIEMode</vt:lpstr>
      <vt:lpstr>acc_pwd_setting</vt:lpstr>
      <vt:lpstr>EdgeBlockAllExtensionsExpSpecif</vt:lpstr>
      <vt:lpstr>ScreensaverConfig</vt:lpstr>
      <vt:lpstr>wbcertctrl</vt:lpstr>
      <vt:lpstr>AutoShareWksdisable</vt:lpstr>
      <vt:lpstr>IEConfigCompatibilityViewIntran</vt:lpstr>
      <vt:lpstr>IEConfig</vt:lpstr>
      <vt:lpstr>Permission for forensic usb</vt:lpstr>
      <vt:lpstr>PowershellLogging</vt:lpstr>
      <vt:lpstr>OutlookSettings</vt:lpstr>
      <vt:lpstr>OfficeAppAutoSave</vt:lpstr>
      <vt:lpstr>EdgePopupEnable</vt:lpstr>
      <vt:lpstr>BitlockerSetting</vt:lpstr>
      <vt:lpstr>Disable RemovableDisk</vt:lpstr>
      <vt:lpstr>RDPdisable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2026-08-26T04:43:07Z</dcterms:created>
  <dcterms:modified xsi:type="dcterms:W3CDTF">2026-08-26T04:43:07Z</dcterms:modified>
</cp:coreProperties>
</file>